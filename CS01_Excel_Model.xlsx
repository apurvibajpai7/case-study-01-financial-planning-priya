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E3803B29-FBE4-40C5-8D41-DE1861D81A2F}" xr6:coauthVersionLast="47" xr6:coauthVersionMax="47" xr10:uidLastSave="{00000000-0000-0000-0000-000000000000}"/>
  <bookViews>
    <workbookView xWindow="-108" yWindow="-108" windowWidth="23256" windowHeight="12456" xr2:uid="{99E86507-B060-4992-94A0-69450C400726}"/>
  </bookViews>
  <sheets>
    <sheet name="case study overview" sheetId="1" r:id="rId1"/>
    <sheet name="Data" sheetId="2" r:id="rId2"/>
    <sheet name="Analysis" sheetId="3" r:id="rId3"/>
    <sheet name="Planning &amp; Forecasting" sheetId="4" r:id="rId4"/>
    <sheet name="Dashboards" sheetId="5" r:id="rId5"/>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 i="4" l="1"/>
  <c r="K5" i="4"/>
  <c r="C8" i="4"/>
  <c r="C7" i="4"/>
  <c r="C6" i="4"/>
  <c r="C5" i="4"/>
  <c r="B8" i="4"/>
  <c r="B7" i="4"/>
  <c r="B6" i="4"/>
  <c r="B5" i="4"/>
  <c r="C20" i="3"/>
  <c r="C27" i="3"/>
  <c r="C26" i="3"/>
  <c r="C25" i="3"/>
  <c r="C24" i="3"/>
  <c r="C23" i="3"/>
  <c r="C22" i="3"/>
  <c r="C21" i="3"/>
  <c r="J6" i="3"/>
  <c r="J5" i="3"/>
  <c r="C6" i="3"/>
  <c r="C7" i="3"/>
  <c r="C8" i="3"/>
  <c r="C9" i="3"/>
  <c r="C10" i="3"/>
  <c r="C11" i="3"/>
  <c r="C12" i="3"/>
  <c r="C13" i="3"/>
  <c r="C14" i="3"/>
  <c r="C15" i="3"/>
  <c r="C16" i="3"/>
  <c r="C5" i="3"/>
  <c r="B6" i="3"/>
  <c r="B7" i="3"/>
  <c r="B8" i="3"/>
  <c r="B9" i="3"/>
  <c r="B10" i="3"/>
  <c r="B11" i="3"/>
  <c r="B12" i="3"/>
  <c r="B13" i="3"/>
  <c r="B14" i="3"/>
  <c r="B15" i="3"/>
  <c r="B16" i="3"/>
  <c r="B5" i="3"/>
  <c r="I33" i="2"/>
  <c r="H33" i="2"/>
  <c r="G33" i="2"/>
  <c r="F33" i="2"/>
  <c r="E33" i="2"/>
  <c r="D33" i="2"/>
  <c r="C33" i="2"/>
  <c r="B33" i="2"/>
  <c r="D17" i="2"/>
  <c r="C17" i="2"/>
  <c r="B17" i="2"/>
  <c r="E41" i="2"/>
  <c r="E40" i="2"/>
  <c r="E39" i="2"/>
  <c r="E37" i="2"/>
  <c r="J22" i="2"/>
  <c r="J23" i="2"/>
  <c r="J24" i="2"/>
  <c r="J25" i="2"/>
  <c r="J26" i="2"/>
  <c r="J27" i="2"/>
  <c r="J28" i="2"/>
  <c r="J29" i="2"/>
  <c r="J30" i="2"/>
  <c r="J31" i="2"/>
  <c r="J32" i="2"/>
  <c r="J21" i="2"/>
  <c r="E6" i="2"/>
  <c r="E7" i="2"/>
  <c r="E8" i="2"/>
  <c r="E9" i="2"/>
  <c r="E10" i="2"/>
  <c r="E11" i="2"/>
  <c r="E12" i="2"/>
  <c r="E13" i="2"/>
  <c r="E14" i="2"/>
  <c r="E15" i="2"/>
  <c r="E16" i="2"/>
  <c r="E5" i="2"/>
  <c r="D4" i="5" l="1"/>
  <c r="B4" i="5"/>
  <c r="H17" i="4"/>
  <c r="H16" i="4"/>
  <c r="H15" i="4"/>
  <c r="B15" i="4"/>
  <c r="I16" i="4"/>
  <c r="I17" i="4"/>
  <c r="I15" i="4"/>
  <c r="E7" i="4"/>
  <c r="G7" i="4" s="1"/>
  <c r="E6" i="4"/>
  <c r="G6" i="4" s="1"/>
  <c r="E5" i="4"/>
  <c r="G5" i="4" s="1"/>
  <c r="K11" i="4"/>
  <c r="K7" i="4"/>
  <c r="F6" i="4"/>
  <c r="H6" i="4" s="1"/>
  <c r="F7" i="4"/>
  <c r="H7" i="4" s="1"/>
  <c r="F8" i="4"/>
  <c r="H8" i="4" s="1"/>
  <c r="F5" i="4"/>
  <c r="H5" i="4" s="1"/>
  <c r="E8" i="4"/>
  <c r="G8" i="4" s="1"/>
  <c r="J20" i="3"/>
  <c r="J21" i="3"/>
  <c r="D25" i="3"/>
  <c r="D27" i="3"/>
  <c r="D20" i="3"/>
  <c r="D21" i="3"/>
  <c r="D24" i="3"/>
  <c r="D22" i="3"/>
  <c r="D23" i="3"/>
  <c r="D26" i="3"/>
  <c r="D12" i="3"/>
  <c r="E12" i="3" s="1"/>
  <c r="J10" i="3"/>
  <c r="J9" i="3"/>
  <c r="D6" i="3"/>
  <c r="E6" i="3" s="1"/>
  <c r="D7" i="3"/>
  <c r="E7" i="3" s="1"/>
  <c r="D8" i="3"/>
  <c r="E8" i="3" s="1"/>
  <c r="D9" i="3"/>
  <c r="E9" i="3" s="1"/>
  <c r="D10" i="3"/>
  <c r="E10" i="3" s="1"/>
  <c r="D11" i="3"/>
  <c r="E11" i="3" s="1"/>
  <c r="D16" i="3"/>
  <c r="E16" i="3" s="1"/>
  <c r="D13" i="3"/>
  <c r="E13" i="3" s="1"/>
  <c r="D14" i="3"/>
  <c r="E14" i="3" s="1"/>
  <c r="D15" i="3"/>
  <c r="E15" i="3" s="1"/>
  <c r="D5" i="3"/>
  <c r="J7" i="3"/>
  <c r="E17" i="2"/>
  <c r="J33" i="2"/>
  <c r="B16" i="4" l="1"/>
  <c r="B17" i="4" s="1"/>
  <c r="J8" i="3"/>
  <c r="H4" i="5" s="1"/>
  <c r="C15" i="4"/>
  <c r="F4" i="5"/>
  <c r="B18" i="4"/>
  <c r="B19" i="4" s="1"/>
  <c r="J22" i="3"/>
  <c r="J23" i="3"/>
  <c r="J26" i="3"/>
  <c r="E5" i="3"/>
  <c r="J11" i="3"/>
  <c r="K8" i="4" s="1"/>
  <c r="K9" i="4" s="1"/>
  <c r="K10" i="4" s="1"/>
  <c r="C16" i="4" l="1"/>
  <c r="C17" i="4" s="1"/>
  <c r="C18" i="4" s="1"/>
  <c r="C19" i="4" s="1"/>
  <c r="D15" i="4"/>
  <c r="D16" i="4" s="1"/>
  <c r="D17" i="4" s="1"/>
  <c r="D18" i="4"/>
  <c r="D19" i="4" s="1"/>
  <c r="J24" i="3"/>
  <c r="J25" i="3"/>
</calcChain>
</file>

<file path=xl/sharedStrings.xml><?xml version="1.0" encoding="utf-8"?>
<sst xmlns="http://schemas.openxmlformats.org/spreadsheetml/2006/main" count="283" uniqueCount="194">
  <si>
    <t>CASE STUDY</t>
  </si>
  <si>
    <t>FINANCIAL PLANNING FOR PRIYA</t>
  </si>
  <si>
    <t>BUSINESS CONTEXT</t>
  </si>
  <si>
    <t>Priya is a 25-year-old marketing executive based in Delhi who recently started her professional career. Although she earns a stable monthly income, she finds it difficult to balance day-to-day expenses, savings, and multiple financial goals. Like many young professionals, she wants to improve her financial discipline while preparing for both expected and unexpected life events. This case study develops a structured financial planning model to help Priya manage her cash flow, prioritize her goals, and move toward long-term financial independence.</t>
  </si>
  <si>
    <t>BUSINESS PROBLEM</t>
  </si>
  <si>
    <t>How should Priya allocate her monthly income to achieve multiple financial goals while maintaining sufficient liquidity, managing financial risks, and improving her overall financial well-being?</t>
  </si>
  <si>
    <t>PROJECT OBJECTIVES</t>
  </si>
  <si>
    <t>PROJECT SCOPE</t>
  </si>
  <si>
    <t>Monthly Budgeting</t>
  </si>
  <si>
    <t>Retirement Planning</t>
  </si>
  <si>
    <t>Cash Flow Analysis</t>
  </si>
  <si>
    <t>Investment Portfolio Selection</t>
  </si>
  <si>
    <t>Savings Planning</t>
  </si>
  <si>
    <t>Mutual Fund Recommendations</t>
  </si>
  <si>
    <t>Emergency Fund Planning</t>
  </si>
  <si>
    <t>Tax Planning</t>
  </si>
  <si>
    <t>Goal Tracking</t>
  </si>
  <si>
    <t>Insurance Planning</t>
  </si>
  <si>
    <t>Scenario Analysis</t>
  </si>
  <si>
    <t>Loan Optimization</t>
  </si>
  <si>
    <t>CLIENT PROFILE</t>
  </si>
  <si>
    <t>Item</t>
  </si>
  <si>
    <t>Details</t>
  </si>
  <si>
    <t>Name</t>
  </si>
  <si>
    <t>Age</t>
  </si>
  <si>
    <t>25 Years</t>
  </si>
  <si>
    <t>City</t>
  </si>
  <si>
    <t>Delhi</t>
  </si>
  <si>
    <t>Occupation</t>
  </si>
  <si>
    <t>Marketing Executive</t>
  </si>
  <si>
    <t>Monthly Salary</t>
  </si>
  <si>
    <t>Planning Horizon</t>
  </si>
  <si>
    <t>5 Years</t>
  </si>
  <si>
    <t>Currency</t>
  </si>
  <si>
    <t>INR</t>
  </si>
  <si>
    <t>FINANCIAL GOALS</t>
  </si>
  <si>
    <t>Goal</t>
  </si>
  <si>
    <t>Target Amount</t>
  </si>
  <si>
    <t>Timeline</t>
  </si>
  <si>
    <t>Priority</t>
  </si>
  <si>
    <t>Emergency Fund</t>
  </si>
  <si>
    <t>12 Months</t>
  </si>
  <si>
    <t>High</t>
  </si>
  <si>
    <t>Parents Support</t>
  </si>
  <si>
    <t>₹5,000/month</t>
  </si>
  <si>
    <t>Ongoing</t>
  </si>
  <si>
    <t>MBA Fund</t>
  </si>
  <si>
    <t>3 Years</t>
  </si>
  <si>
    <t>6 Months</t>
  </si>
  <si>
    <t>Medium</t>
  </si>
  <si>
    <t>House Down Payment</t>
  </si>
  <si>
    <t>7 Years</t>
  </si>
  <si>
    <t>MODEL ASSUMPTIONS</t>
  </si>
  <si>
    <t>Assumption</t>
  </si>
  <si>
    <t>Value</t>
  </si>
  <si>
    <t>Annual Salary Growth</t>
  </si>
  <si>
    <t>Inflation Rate</t>
  </si>
  <si>
    <t>Annual Bonus</t>
  </si>
  <si>
    <t>Promotion</t>
  </si>
  <si>
    <t>Beginning of Year 2</t>
  </si>
  <si>
    <t>Budget Frequency</t>
  </si>
  <si>
    <t>Monthly</t>
  </si>
  <si>
    <t>Planning Period</t>
  </si>
  <si>
    <t>KEY PERFORMANCE INDICATORS (KPIs)</t>
  </si>
  <si>
    <t>Financial Health</t>
  </si>
  <si>
    <t>Monthly Income</t>
  </si>
  <si>
    <t>Goal Progress (%)</t>
  </si>
  <si>
    <t>Total Expenses</t>
  </si>
  <si>
    <t>Emergency Fund Completion</t>
  </si>
  <si>
    <t>Monthly Savings</t>
  </si>
  <si>
    <t>Goal Completion Timeline</t>
  </si>
  <si>
    <t>Savings Rate (%)</t>
  </si>
  <si>
    <t>Scenario Comparison</t>
  </si>
  <si>
    <t>Net Cash Flow</t>
  </si>
  <si>
    <t>Five-Year Savings Projection</t>
  </si>
  <si>
    <r>
      <t xml:space="preserve">Priya Sharma </t>
    </r>
    <r>
      <rPr>
        <i/>
        <sz val="19"/>
        <color theme="1"/>
        <rFont val="Calibri"/>
        <family val="2"/>
        <scheme val="minor"/>
      </rPr>
      <t>(Fictional)</t>
    </r>
  </si>
  <si>
    <t>ROLE</t>
  </si>
  <si>
    <t>Financial Planning Analyst</t>
  </si>
  <si>
    <t>•Develop a realistic monthly budget.
•Analyze Priya's income and spending patterns.
•Build and monitor an emergency fund.
•Track progress toward short-term and long-term financial goals.
•Evaluate different savings scenarios.
•Provide practical financial recommendations based on the analysis.</t>
  </si>
  <si>
    <t>Project Methodology</t>
  </si>
  <si>
    <t>Business Understanding   → Data Collection  → Financial analysis  → Dashboard Development →  Insigts &amp; Recommendations</t>
  </si>
  <si>
    <t>Included ✓</t>
  </si>
  <si>
    <t>Excluded ✕</t>
  </si>
  <si>
    <t>Month</t>
  </si>
  <si>
    <t>Salary</t>
  </si>
  <si>
    <t>Bonus</t>
  </si>
  <si>
    <t>Other Income</t>
  </si>
  <si>
    <t>Total Income</t>
  </si>
  <si>
    <t>January</t>
  </si>
  <si>
    <t>February</t>
  </si>
  <si>
    <t>March</t>
  </si>
  <si>
    <t>April</t>
  </si>
  <si>
    <t>May</t>
  </si>
  <si>
    <t>June</t>
  </si>
  <si>
    <t>July</t>
  </si>
  <si>
    <t>August</t>
  </si>
  <si>
    <t>September</t>
  </si>
  <si>
    <t>October</t>
  </si>
  <si>
    <t>November</t>
  </si>
  <si>
    <t>December</t>
  </si>
  <si>
    <t>MONTHLY INCOME</t>
  </si>
  <si>
    <t>MONTHLY EXPENSE</t>
  </si>
  <si>
    <t>Rent</t>
  </si>
  <si>
    <t>Food</t>
  </si>
  <si>
    <t>Utilities</t>
  </si>
  <si>
    <t>Transport</t>
  </si>
  <si>
    <t>Shopping</t>
  </si>
  <si>
    <t>Entertainment</t>
  </si>
  <si>
    <t>Misc.</t>
  </si>
  <si>
    <t>Timeline (Months)</t>
  </si>
  <si>
    <t>Monthly Saving Required</t>
  </si>
  <si>
    <t>Current Saved</t>
  </si>
  <si>
    <t>N/A</t>
  </si>
  <si>
    <t>UNEXPECTED EVENTS</t>
  </si>
  <si>
    <t>Event</t>
  </si>
  <si>
    <t>Type</t>
  </si>
  <si>
    <t>Amount</t>
  </si>
  <si>
    <t>Impact</t>
  </si>
  <si>
    <t>Laptop Repair</t>
  </si>
  <si>
    <t>Expense</t>
  </si>
  <si>
    <t>Negative</t>
  </si>
  <si>
    <t>Income</t>
  </si>
  <si>
    <t>Positive</t>
  </si>
  <si>
    <t>Medical Emergency</t>
  </si>
  <si>
    <t>January (Year 2)</t>
  </si>
  <si>
    <t>Salary +8%</t>
  </si>
  <si>
    <t>DATA</t>
  </si>
  <si>
    <t>Total</t>
  </si>
  <si>
    <t>MONTHLY FINANCIAL PERFORMANCE</t>
  </si>
  <si>
    <t>Savings Rate %</t>
  </si>
  <si>
    <t>ANNUAL FINANCIAL SUMMARY</t>
  </si>
  <si>
    <t>KPI</t>
  </si>
  <si>
    <t>Formula</t>
  </si>
  <si>
    <t>Annual Income</t>
  </si>
  <si>
    <t>Annual Expenses</t>
  </si>
  <si>
    <t>Annual Savings</t>
  </si>
  <si>
    <t>Annual Savings Rate</t>
  </si>
  <si>
    <t>Average Monthly Income</t>
  </si>
  <si>
    <t>Average Monthly Expenses</t>
  </si>
  <si>
    <t>Average Monthly Savings</t>
  </si>
  <si>
    <t>EXPENSE ANALYSIS</t>
  </si>
  <si>
    <t>Expense Category</t>
  </si>
  <si>
    <t>Annual Total</t>
  </si>
  <si>
    <t>% of Total Expenses</t>
  </si>
  <si>
    <t>Parents</t>
  </si>
  <si>
    <t>CASH FLOW HEALTH INDICATORS</t>
  </si>
  <si>
    <t>Highest Income Month</t>
  </si>
  <si>
    <t>Highest Expense Month</t>
  </si>
  <si>
    <t>Highest Savings Month</t>
  </si>
  <si>
    <t>Lowest Savings Month</t>
  </si>
  <si>
    <t>Best Savings Rate</t>
  </si>
  <si>
    <t>Worst Savings Rate</t>
  </si>
  <si>
    <t>Months with Negative Savings</t>
  </si>
  <si>
    <t>FINANCIAL ANALYSIS</t>
  </si>
  <si>
    <t>FINANCIAL GOAL PROGRESS</t>
  </si>
  <si>
    <t>Current Savings</t>
  </si>
  <si>
    <t>Remaining Amount</t>
  </si>
  <si>
    <t>Completion %</t>
  </si>
  <si>
    <t>Status</t>
  </si>
  <si>
    <t>Vacation</t>
  </si>
  <si>
    <t>EMERGENCY FUND PLANNER</t>
  </si>
  <si>
    <t>Emergency Fund Target</t>
  </si>
  <si>
    <t>Months Required</t>
  </si>
  <si>
    <t>Expected Completion</t>
  </si>
  <si>
    <t>FIVE-YEAR SAVINGS PROJECTION</t>
  </si>
  <si>
    <t>Year</t>
  </si>
  <si>
    <t>Cumulative Savings</t>
  </si>
  <si>
    <t>Year 1</t>
  </si>
  <si>
    <t>Year 2</t>
  </si>
  <si>
    <t>Year 3</t>
  </si>
  <si>
    <t>Year 4</t>
  </si>
  <si>
    <t>Year 5</t>
  </si>
  <si>
    <t>SCENARIO ANALYSIS</t>
  </si>
  <si>
    <t>Scenario</t>
  </si>
  <si>
    <t>Savings Rate</t>
  </si>
  <si>
    <t>Years to Reach ₹10,00,000</t>
  </si>
  <si>
    <t>Recommendation</t>
  </si>
  <si>
    <t>Conservative</t>
  </si>
  <si>
    <t>Moderate</t>
  </si>
  <si>
    <t>Aggressive</t>
  </si>
  <si>
    <t>Suitable for maintaining current lifestyle, but long-term goals will take longer to achieve.</t>
  </si>
  <si>
    <t>Provides a healthy balance between spending and saving while steadily progressing toward financial goals.</t>
  </si>
  <si>
    <t>Best for accelerating wealth creation, provided Priya can comfortably sustain a 40% savings rate.</t>
  </si>
  <si>
    <t>FINANCIAL PLANNING &amp; SCENARIO ANALYSIS</t>
  </si>
  <si>
    <t>ANNUAL EXPENSE</t>
  </si>
  <si>
    <t>ANNUAL SAVINGS</t>
  </si>
  <si>
    <t>SAVINGS RATE</t>
  </si>
  <si>
    <t xml:space="preserve">ANNUAL INCOME </t>
  </si>
  <si>
    <t>Remaining %</t>
  </si>
  <si>
    <t>Financial Planning Dashboard – Priya Sharma</t>
  </si>
  <si>
    <t>KEY INSIGHTS</t>
  </si>
  <si>
    <t>•Emergency Fund is 80% complete and is projected to be fully funded by September 2026.
•Rent represents 34% of annual expenses, making it the largest cost category.
•March recorded a negative savings rate due to one-time high expenses.
•At the current pace, Priya's cumulative savings could reach approximately ₹7.9 lakh in five years.</t>
  </si>
  <si>
    <t>RECOMMENDATIONS</t>
  </si>
  <si>
    <t>•Complete the Emergency Fund before increasing contributions to other goals.
•Increase the savings rate from 20% toward 30% to accelerate long-term wealth creation.
•Reduce discretionary spending on shopping and entertainment where practical.
•Begin larger contributions to the MBA Fund after the Emergency Fund is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</si>
</sst>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21" x14ac:knownFonts="1">
    <font>
      <sz val="14"/>
      <color theme="1"/>
      <name val="Calibri"/>
      <family val="2"/>
      <scheme val="minor"/>
    </font>
    <font>
      <sz val="14"/>
      <color theme="1"/>
      <name val="Calibri"/>
      <family val="2"/>
      <scheme val="minor"/>
    </font>
    <font>
      <b/>
      <sz val="14"/>
      <color theme="1"/>
      <name val="Calibri"/>
      <family val="2"/>
      <scheme val="minor"/>
    </font>
    <font>
      <b/>
      <sz val="20"/>
      <color theme="1"/>
      <name val="Calibri"/>
      <family val="2"/>
      <scheme val="minor"/>
    </font>
    <font>
      <sz val="16"/>
      <color theme="1"/>
      <name val="Calibri"/>
      <family val="2"/>
      <scheme val="minor"/>
    </font>
    <font>
      <sz val="18"/>
      <color theme="1"/>
      <name val="Calibri"/>
      <family val="2"/>
      <scheme val="minor"/>
    </font>
    <font>
      <sz val="19"/>
      <color theme="1"/>
      <name val="Calibri"/>
      <family val="2"/>
      <scheme val="minor"/>
    </font>
    <font>
      <i/>
      <sz val="19"/>
      <color theme="1"/>
      <name val="Calibri"/>
      <family val="2"/>
      <scheme val="minor"/>
    </font>
    <font>
      <b/>
      <sz val="21"/>
      <color theme="1"/>
      <name val="Arial Narrow"/>
      <family val="2"/>
    </font>
    <font>
      <b/>
      <sz val="22"/>
      <color theme="1"/>
      <name val="Calibri"/>
      <family val="2"/>
      <scheme val="minor"/>
    </font>
    <font>
      <b/>
      <sz val="14"/>
      <color theme="1"/>
      <name val="Arial Rounded MT Bold"/>
      <family val="2"/>
    </font>
    <font>
      <sz val="19"/>
      <color theme="7" tint="-0.499984740745262"/>
      <name val="Calibri"/>
      <family val="2"/>
      <scheme val="minor"/>
    </font>
    <font>
      <sz val="19"/>
      <color rgb="FFC00000"/>
      <name val="Calibri"/>
      <family val="2"/>
      <scheme val="minor"/>
    </font>
    <font>
      <sz val="22"/>
      <color theme="1"/>
      <name val="Calibri"/>
      <family val="2"/>
      <scheme val="minor"/>
    </font>
    <font>
      <b/>
      <sz val="24"/>
      <color theme="1"/>
      <name val="Arial Rounded MT Bold"/>
      <family val="2"/>
    </font>
    <font>
      <b/>
      <sz val="17"/>
      <color theme="1"/>
      <name val="Calibri"/>
      <family val="2"/>
      <scheme val="minor"/>
    </font>
    <font>
      <sz val="17"/>
      <color theme="1"/>
      <name val="Calibri"/>
      <family val="2"/>
      <scheme val="minor"/>
    </font>
    <font>
      <sz val="8"/>
      <name val="Calibri"/>
      <family val="2"/>
      <scheme val="minor"/>
    </font>
    <font>
      <sz val="17"/>
      <color theme="1"/>
      <name val="Arial Unicode MS"/>
      <family val="2"/>
    </font>
    <font>
      <b/>
      <sz val="19"/>
      <color theme="1"/>
      <name val="Arial Narrow"/>
      <family val="2"/>
    </font>
    <font>
      <sz val="24"/>
      <color theme="1"/>
      <name val="Arial Rounded MT Bold"/>
      <family val="2"/>
    </font>
  </fonts>
  <fills count="9">
    <fill>
      <patternFill patternType="none"/>
    </fill>
    <fill>
      <patternFill patternType="gray125"/>
    </fill>
    <fill>
      <patternFill patternType="solid">
        <fgColor theme="7" tint="0.39997558519241921"/>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39997558519241921"/>
        <bgColor indexed="64"/>
      </patternFill>
    </fill>
  </fills>
  <borders count="4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style="medium">
        <color indexed="64"/>
      </top>
      <bottom style="medium">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28">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left"/>
    </xf>
    <xf numFmtId="0" fontId="0" fillId="0" borderId="0" xfId="0" applyAlignment="1"/>
    <xf numFmtId="0" fontId="4" fillId="0" borderId="0" xfId="0" applyFont="1"/>
    <xf numFmtId="0" fontId="4" fillId="0" borderId="0" xfId="0" applyFont="1" applyAlignment="1">
      <alignment horizontal="center" vertical="center" wrapText="1"/>
    </xf>
    <xf numFmtId="0" fontId="4" fillId="0" borderId="0" xfId="0" applyFont="1" applyAlignment="1">
      <alignment horizontal="center"/>
    </xf>
    <xf numFmtId="0" fontId="4" fillId="0" borderId="0" xfId="0" applyFont="1" applyAlignment="1"/>
    <xf numFmtId="0" fontId="4" fillId="0" borderId="0" xfId="0" applyFont="1"/>
    <xf numFmtId="0" fontId="6" fillId="4" borderId="2" xfId="0" applyFont="1" applyFill="1" applyBorder="1" applyAlignment="1">
      <alignment horizontal="left" vertical="center" wrapText="1"/>
    </xf>
    <xf numFmtId="0" fontId="6" fillId="4" borderId="3" xfId="0" applyFont="1" applyFill="1" applyBorder="1" applyAlignment="1">
      <alignment horizontal="left" vertical="center" wrapText="1"/>
    </xf>
    <xf numFmtId="0" fontId="6" fillId="4" borderId="4" xfId="0" applyFont="1" applyFill="1" applyBorder="1" applyAlignment="1">
      <alignment horizontal="left" vertical="center" wrapText="1"/>
    </xf>
    <xf numFmtId="0" fontId="6" fillId="4" borderId="12" xfId="0" applyFont="1" applyFill="1" applyBorder="1" applyAlignment="1">
      <alignment horizontal="left" vertical="center" wrapText="1"/>
    </xf>
    <xf numFmtId="0" fontId="6" fillId="4" borderId="0" xfId="0" applyFont="1" applyFill="1" applyBorder="1" applyAlignment="1">
      <alignment horizontal="left" vertical="center" wrapText="1"/>
    </xf>
    <xf numFmtId="0" fontId="6" fillId="4" borderId="13" xfId="0" applyFont="1" applyFill="1" applyBorder="1" applyAlignment="1">
      <alignment horizontal="left" vertical="center" wrapText="1"/>
    </xf>
    <xf numFmtId="0" fontId="6" fillId="4" borderId="5" xfId="0" applyFont="1" applyFill="1" applyBorder="1" applyAlignment="1">
      <alignment horizontal="left" vertical="center" wrapText="1"/>
    </xf>
    <xf numFmtId="0" fontId="6" fillId="4" borderId="6" xfId="0" applyFont="1" applyFill="1" applyBorder="1" applyAlignment="1">
      <alignment horizontal="left" vertical="center" wrapText="1"/>
    </xf>
    <xf numFmtId="0" fontId="6" fillId="4" borderId="7" xfId="0" applyFont="1" applyFill="1" applyBorder="1" applyAlignment="1">
      <alignment horizontal="left" vertical="center" wrapText="1"/>
    </xf>
    <xf numFmtId="0" fontId="6" fillId="4" borderId="8" xfId="0" applyFont="1" applyFill="1" applyBorder="1" applyAlignment="1">
      <alignment horizontal="left" vertical="center" wrapText="1"/>
    </xf>
    <xf numFmtId="0" fontId="6" fillId="4" borderId="20" xfId="0" applyFont="1" applyFill="1" applyBorder="1" applyAlignment="1">
      <alignment horizontal="left" vertical="center" wrapText="1"/>
    </xf>
    <xf numFmtId="0" fontId="6" fillId="4" borderId="24" xfId="0" applyFont="1" applyFill="1" applyBorder="1" applyAlignment="1">
      <alignment horizontal="left" vertical="center" wrapText="1"/>
    </xf>
    <xf numFmtId="0" fontId="6" fillId="4" borderId="22" xfId="0" applyFont="1" applyFill="1" applyBorder="1" applyAlignment="1">
      <alignment horizontal="left" vertical="center" wrapText="1"/>
    </xf>
    <xf numFmtId="0" fontId="6" fillId="4" borderId="19" xfId="0" applyFont="1" applyFill="1" applyBorder="1" applyAlignment="1">
      <alignment horizontal="left" vertical="center" wrapText="1"/>
    </xf>
    <xf numFmtId="0" fontId="6" fillId="4" borderId="8" xfId="0" applyFont="1" applyFill="1" applyBorder="1" applyAlignment="1">
      <alignment horizontal="left" vertical="center" wrapText="1"/>
    </xf>
    <xf numFmtId="0" fontId="6" fillId="4" borderId="21" xfId="0" applyFont="1" applyFill="1" applyBorder="1" applyAlignment="1">
      <alignment horizontal="left" vertical="center" wrapText="1"/>
    </xf>
    <xf numFmtId="0" fontId="6" fillId="4" borderId="24" xfId="0" applyFont="1" applyFill="1" applyBorder="1" applyAlignment="1">
      <alignment horizontal="left" vertical="center" wrapText="1"/>
    </xf>
    <xf numFmtId="0" fontId="6" fillId="4" borderId="19" xfId="0" applyFont="1" applyFill="1" applyBorder="1" applyAlignment="1">
      <alignment horizontal="left" vertical="center" wrapText="1"/>
    </xf>
    <xf numFmtId="0" fontId="6" fillId="4" borderId="21" xfId="0" applyFont="1" applyFill="1" applyBorder="1" applyAlignment="1">
      <alignment horizontal="left" vertical="center" wrapText="1"/>
    </xf>
    <xf numFmtId="0" fontId="8" fillId="3" borderId="9" xfId="0" applyFont="1" applyFill="1" applyBorder="1" applyAlignment="1">
      <alignment horizontal="left" vertical="center" wrapText="1"/>
    </xf>
    <xf numFmtId="0" fontId="8" fillId="3" borderId="10" xfId="0" applyFont="1" applyFill="1" applyBorder="1" applyAlignment="1">
      <alignment horizontal="left" vertical="center" wrapText="1"/>
    </xf>
    <xf numFmtId="0" fontId="8" fillId="3" borderId="11" xfId="0" applyFont="1" applyFill="1" applyBorder="1" applyAlignment="1">
      <alignment horizontal="left" vertical="center" wrapText="1"/>
    </xf>
    <xf numFmtId="0" fontId="4" fillId="0" borderId="0" xfId="0" applyFont="1" applyAlignment="1">
      <alignment wrapText="1"/>
    </xf>
    <xf numFmtId="0" fontId="5" fillId="0" borderId="0" xfId="0" applyFont="1" applyAlignment="1">
      <alignment horizontal="left" vertical="center" wrapText="1"/>
    </xf>
    <xf numFmtId="0" fontId="8" fillId="3" borderId="14" xfId="0" applyFont="1" applyFill="1" applyBorder="1" applyAlignment="1">
      <alignment horizontal="center" vertical="center"/>
    </xf>
    <xf numFmtId="0" fontId="8" fillId="3" borderId="16" xfId="0" applyFont="1" applyFill="1" applyBorder="1" applyAlignment="1">
      <alignment horizontal="center" vertical="center"/>
    </xf>
    <xf numFmtId="0" fontId="8" fillId="3" borderId="15" xfId="0" applyFont="1" applyFill="1" applyBorder="1" applyAlignment="1">
      <alignment horizontal="center" vertical="center"/>
    </xf>
    <xf numFmtId="0" fontId="5" fillId="4" borderId="32" xfId="0" applyFont="1" applyFill="1" applyBorder="1" applyAlignment="1">
      <alignment vertical="center" wrapText="1"/>
    </xf>
    <xf numFmtId="0" fontId="5" fillId="4" borderId="33" xfId="0" applyFont="1" applyFill="1" applyBorder="1" applyAlignment="1">
      <alignment vertical="center" wrapText="1"/>
    </xf>
    <xf numFmtId="0" fontId="6" fillId="4" borderId="27" xfId="0" applyFont="1" applyFill="1" applyBorder="1" applyAlignment="1">
      <alignment horizontal="left" vertical="center" wrapText="1"/>
    </xf>
    <xf numFmtId="0" fontId="6" fillId="4" borderId="28" xfId="0" applyFont="1" applyFill="1" applyBorder="1" applyAlignment="1">
      <alignment horizontal="left" vertical="center" wrapText="1"/>
    </xf>
    <xf numFmtId="0" fontId="6" fillId="4" borderId="27" xfId="0" applyFont="1" applyFill="1" applyBorder="1" applyAlignment="1">
      <alignment horizontal="left" vertical="center" wrapText="1"/>
    </xf>
    <xf numFmtId="0" fontId="6" fillId="4" borderId="28" xfId="0" applyFont="1" applyFill="1" applyBorder="1" applyAlignment="1">
      <alignment horizontal="left" vertical="center" wrapText="1"/>
    </xf>
    <xf numFmtId="0" fontId="6" fillId="4" borderId="29" xfId="0" applyFont="1" applyFill="1" applyBorder="1" applyAlignment="1">
      <alignment horizontal="left" vertical="center" wrapText="1"/>
    </xf>
    <xf numFmtId="0" fontId="5" fillId="4" borderId="34" xfId="0" applyFont="1" applyFill="1" applyBorder="1" applyAlignment="1">
      <alignment vertical="center" wrapText="1"/>
    </xf>
    <xf numFmtId="0" fontId="3" fillId="7" borderId="1" xfId="0" applyFont="1" applyFill="1" applyBorder="1" applyAlignment="1">
      <alignment vertical="center" wrapText="1"/>
    </xf>
    <xf numFmtId="0" fontId="3" fillId="7" borderId="1" xfId="0" applyFont="1" applyFill="1" applyBorder="1" applyAlignment="1">
      <alignment vertical="center"/>
    </xf>
    <xf numFmtId="0" fontId="3" fillId="7" borderId="31" xfId="0" applyFont="1" applyFill="1" applyBorder="1" applyAlignment="1">
      <alignment horizontal="center" vertical="center" wrapText="1"/>
    </xf>
    <xf numFmtId="0" fontId="3" fillId="7" borderId="32" xfId="0" applyFont="1" applyFill="1" applyBorder="1" applyAlignment="1">
      <alignment horizontal="center" vertical="center" wrapText="1"/>
    </xf>
    <xf numFmtId="0" fontId="3" fillId="7" borderId="33" xfId="0" applyFont="1" applyFill="1" applyBorder="1" applyAlignment="1">
      <alignment horizontal="center" vertical="center" wrapText="1"/>
    </xf>
    <xf numFmtId="0" fontId="3" fillId="7" borderId="31" xfId="0" applyFont="1" applyFill="1" applyBorder="1" applyAlignment="1">
      <alignment horizontal="center" vertical="center" wrapText="1"/>
    </xf>
    <xf numFmtId="0" fontId="3" fillId="7" borderId="32" xfId="0" applyFont="1" applyFill="1" applyBorder="1" applyAlignment="1">
      <alignment horizontal="center" vertical="center" wrapText="1"/>
    </xf>
    <xf numFmtId="0" fontId="3" fillId="7" borderId="33" xfId="0" applyFont="1" applyFill="1" applyBorder="1" applyAlignment="1">
      <alignment horizontal="center" vertical="center" wrapText="1"/>
    </xf>
    <xf numFmtId="0" fontId="11" fillId="4" borderId="20" xfId="0" applyFont="1" applyFill="1" applyBorder="1" applyAlignment="1">
      <alignment horizontal="left" vertical="center" wrapText="1"/>
    </xf>
    <xf numFmtId="0" fontId="11" fillId="4" borderId="22" xfId="0" applyFont="1" applyFill="1" applyBorder="1" applyAlignment="1">
      <alignment horizontal="left" vertical="center" wrapText="1"/>
    </xf>
    <xf numFmtId="0" fontId="12" fillId="4" borderId="29" xfId="0" applyFont="1" applyFill="1" applyBorder="1" applyAlignment="1">
      <alignment horizontal="left" vertical="center" wrapText="1"/>
    </xf>
    <xf numFmtId="0" fontId="12" fillId="4" borderId="20" xfId="0" applyFont="1" applyFill="1" applyBorder="1" applyAlignment="1">
      <alignment horizontal="left" vertical="center" wrapText="1"/>
    </xf>
    <xf numFmtId="0" fontId="13" fillId="4" borderId="2" xfId="0" applyFont="1" applyFill="1" applyBorder="1" applyAlignment="1">
      <alignment horizontal="center" vertical="center" wrapText="1"/>
    </xf>
    <xf numFmtId="0" fontId="13" fillId="4" borderId="3" xfId="0" applyFont="1" applyFill="1" applyBorder="1" applyAlignment="1">
      <alignment horizontal="center" vertical="center" wrapText="1"/>
    </xf>
    <xf numFmtId="0" fontId="13" fillId="4" borderId="4" xfId="0" applyFont="1" applyFill="1" applyBorder="1" applyAlignment="1">
      <alignment horizontal="center" vertical="center" wrapText="1"/>
    </xf>
    <xf numFmtId="0" fontId="13" fillId="4" borderId="5" xfId="0" applyFont="1" applyFill="1" applyBorder="1" applyAlignment="1">
      <alignment horizontal="center" vertical="center" wrapText="1"/>
    </xf>
    <xf numFmtId="0" fontId="13" fillId="4" borderId="6" xfId="0" applyFont="1" applyFill="1" applyBorder="1" applyAlignment="1">
      <alignment horizontal="center" vertical="center" wrapText="1"/>
    </xf>
    <xf numFmtId="0" fontId="13" fillId="4" borderId="7" xfId="0" applyFont="1" applyFill="1" applyBorder="1" applyAlignment="1">
      <alignment horizontal="center" vertical="center" wrapText="1"/>
    </xf>
    <xf numFmtId="0" fontId="0" fillId="0" borderId="0" xfId="0" applyBorder="1"/>
    <xf numFmtId="0" fontId="14" fillId="2" borderId="14" xfId="0" applyFont="1" applyFill="1" applyBorder="1" applyAlignment="1">
      <alignment horizontal="center"/>
    </xf>
    <xf numFmtId="0" fontId="14" fillId="2" borderId="16" xfId="0" applyFont="1" applyFill="1" applyBorder="1" applyAlignment="1">
      <alignment horizontal="center"/>
    </xf>
    <xf numFmtId="0" fontId="14" fillId="2" borderId="15" xfId="0" applyFont="1" applyFill="1" applyBorder="1" applyAlignment="1">
      <alignment horizontal="center"/>
    </xf>
    <xf numFmtId="0" fontId="15" fillId="7" borderId="38" xfId="0" applyFont="1" applyFill="1" applyBorder="1" applyAlignment="1">
      <alignment horizontal="left" vertical="center" wrapText="1"/>
    </xf>
    <xf numFmtId="0" fontId="15" fillId="7" borderId="28" xfId="0" applyFont="1" applyFill="1" applyBorder="1" applyAlignment="1">
      <alignment horizontal="left" vertical="center" wrapText="1"/>
    </xf>
    <xf numFmtId="0" fontId="15" fillId="7" borderId="39" xfId="0" applyFont="1" applyFill="1" applyBorder="1" applyAlignment="1">
      <alignment horizontal="left" vertical="center" wrapText="1"/>
    </xf>
    <xf numFmtId="0" fontId="16" fillId="4" borderId="26" xfId="0" applyFont="1" applyFill="1" applyBorder="1" applyAlignment="1">
      <alignment vertical="center" wrapText="1"/>
    </xf>
    <xf numFmtId="0" fontId="16" fillId="4" borderId="8" xfId="0" applyFont="1" applyFill="1" applyBorder="1" applyAlignment="1">
      <alignment horizontal="right" vertical="center" wrapText="1"/>
    </xf>
    <xf numFmtId="0" fontId="16" fillId="4" borderId="40" xfId="0" applyFont="1" applyFill="1" applyBorder="1" applyAlignment="1">
      <alignment vertical="center" wrapText="1"/>
    </xf>
    <xf numFmtId="0" fontId="16" fillId="4" borderId="30" xfId="0" applyFont="1" applyFill="1" applyBorder="1" applyAlignment="1">
      <alignment horizontal="right" vertical="center" wrapText="1"/>
    </xf>
    <xf numFmtId="0" fontId="15" fillId="7" borderId="38" xfId="0" applyFont="1" applyFill="1" applyBorder="1" applyAlignment="1">
      <alignment horizontal="left" wrapText="1"/>
    </xf>
    <xf numFmtId="0" fontId="15" fillId="7" borderId="28" xfId="0" applyFont="1" applyFill="1" applyBorder="1" applyAlignment="1">
      <alignment horizontal="left" wrapText="1"/>
    </xf>
    <xf numFmtId="0" fontId="15" fillId="7" borderId="39" xfId="0" applyFont="1" applyFill="1" applyBorder="1" applyAlignment="1">
      <alignment horizontal="left" wrapText="1"/>
    </xf>
    <xf numFmtId="0" fontId="16" fillId="4" borderId="8" xfId="0" applyFont="1" applyFill="1" applyBorder="1" applyAlignment="1">
      <alignment vertical="center" wrapText="1"/>
    </xf>
    <xf numFmtId="0" fontId="16" fillId="4" borderId="36" xfId="0" applyFont="1" applyFill="1" applyBorder="1" applyAlignment="1">
      <alignment horizontal="right" vertical="center" wrapText="1"/>
    </xf>
    <xf numFmtId="0" fontId="16" fillId="4" borderId="30" xfId="0" applyFont="1" applyFill="1" applyBorder="1" applyAlignment="1">
      <alignment vertical="center" wrapText="1"/>
    </xf>
    <xf numFmtId="0" fontId="16" fillId="4" borderId="41" xfId="0" applyFont="1" applyFill="1" applyBorder="1" applyAlignment="1">
      <alignment horizontal="right" vertical="center" wrapText="1"/>
    </xf>
    <xf numFmtId="0" fontId="16" fillId="4" borderId="36" xfId="0" applyFont="1" applyFill="1" applyBorder="1" applyAlignment="1">
      <alignment vertical="center" wrapText="1"/>
    </xf>
    <xf numFmtId="0" fontId="16" fillId="4" borderId="41" xfId="0" applyFont="1" applyFill="1" applyBorder="1" applyAlignment="1">
      <alignment vertical="center" wrapText="1"/>
    </xf>
    <xf numFmtId="0" fontId="19" fillId="3" borderId="14" xfId="0" applyFont="1" applyFill="1" applyBorder="1" applyAlignment="1">
      <alignment horizontal="center" vertical="center"/>
    </xf>
    <xf numFmtId="0" fontId="19" fillId="3" borderId="16" xfId="0" applyFont="1" applyFill="1" applyBorder="1" applyAlignment="1">
      <alignment horizontal="center" vertical="center"/>
    </xf>
    <xf numFmtId="0" fontId="19" fillId="3" borderId="15" xfId="0" applyFont="1" applyFill="1" applyBorder="1" applyAlignment="1">
      <alignment horizontal="center" vertical="center"/>
    </xf>
    <xf numFmtId="0" fontId="16" fillId="4" borderId="8" xfId="0" applyFont="1" applyFill="1" applyBorder="1" applyAlignment="1">
      <alignment horizontal="left" vertical="center" wrapText="1"/>
    </xf>
    <xf numFmtId="9" fontId="18" fillId="4" borderId="8" xfId="2" applyFont="1" applyFill="1" applyBorder="1" applyAlignment="1">
      <alignment horizontal="left" vertical="center" wrapText="1"/>
    </xf>
    <xf numFmtId="0" fontId="18" fillId="4" borderId="8" xfId="0" applyFont="1" applyFill="1" applyBorder="1" applyAlignment="1">
      <alignment horizontal="left" vertical="center" wrapText="1"/>
    </xf>
    <xf numFmtId="9" fontId="18" fillId="4" borderId="8" xfId="0" applyNumberFormat="1" applyFont="1" applyFill="1" applyBorder="1" applyAlignment="1">
      <alignment horizontal="left" vertical="center" wrapText="1"/>
    </xf>
    <xf numFmtId="0" fontId="16" fillId="4" borderId="19" xfId="0" applyFont="1" applyFill="1" applyBorder="1" applyAlignment="1">
      <alignment horizontal="left" vertical="center" wrapText="1"/>
    </xf>
    <xf numFmtId="0" fontId="16" fillId="4" borderId="21" xfId="0" applyFont="1" applyFill="1" applyBorder="1" applyAlignment="1">
      <alignment horizontal="left" vertical="center" wrapText="1"/>
    </xf>
    <xf numFmtId="0" fontId="16" fillId="4" borderId="24" xfId="0" applyFont="1" applyFill="1" applyBorder="1" applyAlignment="1">
      <alignment horizontal="left" vertical="center" wrapText="1"/>
    </xf>
    <xf numFmtId="9" fontId="18" fillId="4" borderId="20" xfId="2" applyFont="1" applyFill="1" applyBorder="1" applyAlignment="1">
      <alignment horizontal="left" vertical="center" wrapText="1"/>
    </xf>
    <xf numFmtId="0" fontId="18" fillId="4" borderId="20" xfId="0" applyFont="1" applyFill="1" applyBorder="1" applyAlignment="1">
      <alignment horizontal="left" vertical="center" wrapText="1"/>
    </xf>
    <xf numFmtId="9" fontId="18" fillId="4" borderId="20" xfId="0" applyNumberFormat="1" applyFont="1" applyFill="1" applyBorder="1" applyAlignment="1">
      <alignment horizontal="left" vertical="center" wrapText="1"/>
    </xf>
    <xf numFmtId="0" fontId="18" fillId="4" borderId="24" xfId="0" applyFont="1" applyFill="1" applyBorder="1" applyAlignment="1">
      <alignment horizontal="left" vertical="center" wrapText="1"/>
    </xf>
    <xf numFmtId="0" fontId="18" fillId="4" borderId="22" xfId="0" applyFont="1" applyFill="1" applyBorder="1" applyAlignment="1">
      <alignment horizontal="left" vertical="center" wrapText="1"/>
    </xf>
    <xf numFmtId="0" fontId="15" fillId="7" borderId="27" xfId="0" applyFont="1" applyFill="1" applyBorder="1" applyAlignment="1">
      <alignment horizontal="center" vertical="center" wrapText="1"/>
    </xf>
    <xf numFmtId="0" fontId="15" fillId="7" borderId="28" xfId="0" applyFont="1" applyFill="1" applyBorder="1" applyAlignment="1">
      <alignment horizontal="right" vertical="center" wrapText="1"/>
    </xf>
    <xf numFmtId="0" fontId="15" fillId="7" borderId="29" xfId="0" applyFont="1" applyFill="1" applyBorder="1" applyAlignment="1">
      <alignment horizontal="right" vertical="center" wrapText="1"/>
    </xf>
    <xf numFmtId="0" fontId="19" fillId="3" borderId="31" xfId="0" applyFont="1" applyFill="1" applyBorder="1" applyAlignment="1">
      <alignment horizontal="center" vertical="center"/>
    </xf>
    <xf numFmtId="0" fontId="19" fillId="3" borderId="32" xfId="0" applyFont="1" applyFill="1" applyBorder="1" applyAlignment="1">
      <alignment horizontal="center" vertical="center"/>
    </xf>
    <xf numFmtId="0" fontId="19" fillId="3" borderId="33" xfId="0" applyFont="1" applyFill="1" applyBorder="1" applyAlignment="1">
      <alignment horizontal="center" vertical="center"/>
    </xf>
    <xf numFmtId="0" fontId="15" fillId="7" borderId="28" xfId="0" applyFont="1" applyFill="1" applyBorder="1" applyAlignment="1">
      <alignment horizontal="center" vertical="center" wrapText="1"/>
    </xf>
    <xf numFmtId="0" fontId="15" fillId="7" borderId="29" xfId="0" applyFont="1" applyFill="1" applyBorder="1" applyAlignment="1">
      <alignment horizontal="center" vertical="center" wrapText="1"/>
    </xf>
    <xf numFmtId="0" fontId="19" fillId="3" borderId="31" xfId="0" applyFont="1" applyFill="1" applyBorder="1" applyAlignment="1">
      <alignment horizontal="center"/>
    </xf>
    <xf numFmtId="0" fontId="19" fillId="3" borderId="32" xfId="0" applyFont="1" applyFill="1" applyBorder="1" applyAlignment="1">
      <alignment horizontal="center"/>
    </xf>
    <xf numFmtId="0" fontId="19" fillId="3" borderId="33" xfId="0" applyFont="1" applyFill="1" applyBorder="1" applyAlignment="1">
      <alignment horizontal="center"/>
    </xf>
    <xf numFmtId="0" fontId="16" fillId="4" borderId="19" xfId="0" applyFont="1" applyFill="1" applyBorder="1" applyAlignment="1">
      <alignment horizontal="left" vertical="center"/>
    </xf>
    <xf numFmtId="9" fontId="16" fillId="4" borderId="20" xfId="2" applyFont="1" applyFill="1" applyBorder="1" applyAlignment="1">
      <alignment horizontal="left" vertical="center"/>
    </xf>
    <xf numFmtId="0" fontId="16" fillId="4" borderId="21" xfId="0" applyFont="1" applyFill="1" applyBorder="1" applyAlignment="1">
      <alignment horizontal="left" vertical="center"/>
    </xf>
    <xf numFmtId="9" fontId="16" fillId="4" borderId="22" xfId="2" applyFont="1" applyFill="1" applyBorder="1" applyAlignment="1">
      <alignment horizontal="left" vertical="center"/>
    </xf>
    <xf numFmtId="0" fontId="16" fillId="4" borderId="19" xfId="0" applyFont="1" applyFill="1" applyBorder="1" applyAlignment="1">
      <alignment horizontal="left" vertical="center"/>
    </xf>
    <xf numFmtId="0" fontId="16" fillId="4" borderId="8" xfId="0" applyFont="1" applyFill="1" applyBorder="1" applyAlignment="1">
      <alignment horizontal="left" vertical="center"/>
    </xf>
    <xf numFmtId="0" fontId="15" fillId="7" borderId="27" xfId="0" applyFont="1" applyFill="1" applyBorder="1" applyAlignment="1">
      <alignment horizontal="left" vertical="center" wrapText="1"/>
    </xf>
    <xf numFmtId="0" fontId="15" fillId="7" borderId="29" xfId="0" applyFont="1" applyFill="1" applyBorder="1" applyAlignment="1">
      <alignment horizontal="left" vertical="center" wrapText="1"/>
    </xf>
    <xf numFmtId="0" fontId="15" fillId="7" borderId="27" xfId="0" applyFont="1" applyFill="1" applyBorder="1" applyAlignment="1">
      <alignment horizontal="left" vertical="center" wrapText="1"/>
    </xf>
    <xf numFmtId="0" fontId="15" fillId="7" borderId="28" xfId="0" applyFont="1" applyFill="1" applyBorder="1" applyAlignment="1">
      <alignment horizontal="left" vertical="center" wrapText="1"/>
    </xf>
    <xf numFmtId="0" fontId="15" fillId="7" borderId="29" xfId="0" applyFont="1" applyFill="1" applyBorder="1" applyAlignment="1">
      <alignment horizontal="left" vertical="center" wrapText="1"/>
    </xf>
    <xf numFmtId="0" fontId="15" fillId="7" borderId="28" xfId="0" applyFont="1" applyFill="1" applyBorder="1" applyAlignment="1">
      <alignment vertical="center" wrapText="1"/>
    </xf>
    <xf numFmtId="9" fontId="16" fillId="4" borderId="8" xfId="2" applyFont="1" applyFill="1" applyBorder="1" applyAlignment="1">
      <alignment vertical="center"/>
    </xf>
    <xf numFmtId="0" fontId="15" fillId="7" borderId="29" xfId="0" applyFont="1" applyFill="1" applyBorder="1" applyAlignment="1">
      <alignment vertical="center" wrapText="1"/>
    </xf>
    <xf numFmtId="9" fontId="16" fillId="4" borderId="24" xfId="2" applyFont="1" applyFill="1" applyBorder="1" applyAlignment="1">
      <alignment vertical="center"/>
    </xf>
    <xf numFmtId="0" fontId="19" fillId="3" borderId="14" xfId="0" applyFont="1" applyFill="1" applyBorder="1" applyAlignment="1">
      <alignment horizontal="center"/>
    </xf>
    <xf numFmtId="0" fontId="19" fillId="3" borderId="16" xfId="0" applyFont="1" applyFill="1" applyBorder="1" applyAlignment="1">
      <alignment horizontal="center"/>
    </xf>
    <xf numFmtId="0" fontId="19" fillId="3" borderId="34" xfId="0" applyFont="1" applyFill="1" applyBorder="1" applyAlignment="1">
      <alignment horizontal="center"/>
    </xf>
    <xf numFmtId="0" fontId="9" fillId="8" borderId="2" xfId="0" applyFont="1" applyFill="1" applyBorder="1" applyAlignment="1">
      <alignment horizontal="center" vertical="center"/>
    </xf>
    <xf numFmtId="0" fontId="9" fillId="8" borderId="3" xfId="0" applyFont="1" applyFill="1" applyBorder="1" applyAlignment="1">
      <alignment horizontal="center" vertical="center"/>
    </xf>
    <xf numFmtId="0" fontId="9" fillId="8" borderId="5" xfId="0" applyFont="1" applyFill="1" applyBorder="1" applyAlignment="1">
      <alignment horizontal="center" vertical="center"/>
    </xf>
    <xf numFmtId="0" fontId="9" fillId="8" borderId="6" xfId="0" applyFont="1" applyFill="1" applyBorder="1" applyAlignment="1">
      <alignment horizontal="center" vertical="center"/>
    </xf>
    <xf numFmtId="0" fontId="9" fillId="8" borderId="4" xfId="0" applyFont="1" applyFill="1" applyBorder="1" applyAlignment="1">
      <alignment horizontal="center" vertical="center"/>
    </xf>
    <xf numFmtId="0" fontId="9" fillId="8" borderId="7" xfId="0" applyFont="1" applyFill="1" applyBorder="1" applyAlignment="1">
      <alignment horizontal="center" vertical="center"/>
    </xf>
    <xf numFmtId="43" fontId="16" fillId="4" borderId="8" xfId="1" applyFont="1" applyFill="1" applyBorder="1" applyAlignment="1">
      <alignment horizontal="left" vertical="center"/>
    </xf>
    <xf numFmtId="43" fontId="16" fillId="4" borderId="24" xfId="1" applyFont="1" applyFill="1" applyBorder="1" applyAlignment="1">
      <alignment horizontal="left" vertical="center"/>
    </xf>
    <xf numFmtId="43" fontId="16" fillId="4" borderId="8" xfId="1" applyFont="1" applyFill="1" applyBorder="1" applyAlignment="1">
      <alignment vertical="center"/>
    </xf>
    <xf numFmtId="43" fontId="16" fillId="4" borderId="8" xfId="1" applyFont="1" applyFill="1" applyBorder="1" applyAlignment="1">
      <alignment vertical="center" wrapText="1"/>
    </xf>
    <xf numFmtId="43" fontId="16" fillId="4" borderId="24" xfId="1" applyFont="1" applyFill="1" applyBorder="1" applyAlignment="1">
      <alignment vertical="center" wrapText="1"/>
    </xf>
    <xf numFmtId="43" fontId="18" fillId="4" borderId="8" xfId="1" applyFont="1" applyFill="1" applyBorder="1" applyAlignment="1">
      <alignment horizontal="left" vertical="center" wrapText="1"/>
    </xf>
    <xf numFmtId="43" fontId="18" fillId="4" borderId="20" xfId="1" applyFont="1" applyFill="1" applyBorder="1" applyAlignment="1">
      <alignment horizontal="left" vertical="center" wrapText="1"/>
    </xf>
    <xf numFmtId="43" fontId="18" fillId="4" borderId="24" xfId="1" applyFont="1" applyFill="1" applyBorder="1" applyAlignment="1">
      <alignment horizontal="left" vertical="center" wrapText="1"/>
    </xf>
    <xf numFmtId="43" fontId="18" fillId="4" borderId="22" xfId="1" applyFont="1" applyFill="1" applyBorder="1" applyAlignment="1">
      <alignment horizontal="left" vertical="center" wrapText="1"/>
    </xf>
    <xf numFmtId="43" fontId="16" fillId="4" borderId="8" xfId="1" applyFont="1" applyFill="1" applyBorder="1" applyAlignment="1">
      <alignment horizontal="right" vertical="center" wrapText="1"/>
    </xf>
    <xf numFmtId="43" fontId="16" fillId="4" borderId="36" xfId="1" applyFont="1" applyFill="1" applyBorder="1" applyAlignment="1">
      <alignment horizontal="right" vertical="center" wrapText="1"/>
    </xf>
    <xf numFmtId="43" fontId="16" fillId="4" borderId="30" xfId="1" applyFont="1" applyFill="1" applyBorder="1" applyAlignment="1">
      <alignment horizontal="right" vertical="center" wrapText="1"/>
    </xf>
    <xf numFmtId="43" fontId="16" fillId="4" borderId="41" xfId="1" applyFont="1" applyFill="1" applyBorder="1" applyAlignment="1">
      <alignment horizontal="right" vertical="center" wrapText="1"/>
    </xf>
    <xf numFmtId="43" fontId="6" fillId="4" borderId="28" xfId="1" applyFont="1" applyFill="1" applyBorder="1" applyAlignment="1">
      <alignment horizontal="left" vertical="center" wrapText="1"/>
    </xf>
    <xf numFmtId="43" fontId="6" fillId="4" borderId="8" xfId="1" applyFont="1" applyFill="1" applyBorder="1" applyAlignment="1">
      <alignment horizontal="left" vertical="center" wrapText="1"/>
    </xf>
    <xf numFmtId="43" fontId="6" fillId="4" borderId="24" xfId="1" applyFont="1" applyFill="1" applyBorder="1" applyAlignment="1">
      <alignment horizontal="left" vertical="center" wrapText="1"/>
    </xf>
    <xf numFmtId="43" fontId="6" fillId="4" borderId="28" xfId="1" applyFont="1" applyFill="1" applyBorder="1" applyAlignment="1">
      <alignment horizontal="left" vertical="center" wrapText="1"/>
    </xf>
    <xf numFmtId="43" fontId="6" fillId="4" borderId="29" xfId="1" applyFont="1" applyFill="1" applyBorder="1" applyAlignment="1">
      <alignment horizontal="left" vertical="center" wrapText="1"/>
    </xf>
    <xf numFmtId="43" fontId="6" fillId="4" borderId="8" xfId="1" applyFont="1" applyFill="1" applyBorder="1" applyAlignment="1">
      <alignment horizontal="left" vertical="center" wrapText="1"/>
    </xf>
    <xf numFmtId="43" fontId="6" fillId="4" borderId="20" xfId="1" applyFont="1" applyFill="1" applyBorder="1" applyAlignment="1">
      <alignment horizontal="left" vertical="center" wrapText="1"/>
    </xf>
    <xf numFmtId="9" fontId="6" fillId="4" borderId="8" xfId="2" applyFont="1" applyFill="1" applyBorder="1" applyAlignment="1">
      <alignment horizontal="left" vertical="center" wrapText="1"/>
    </xf>
    <xf numFmtId="9" fontId="6" fillId="4" borderId="20" xfId="2" applyFont="1" applyFill="1" applyBorder="1" applyAlignment="1">
      <alignment horizontal="left" vertical="center" wrapText="1"/>
    </xf>
    <xf numFmtId="43" fontId="0" fillId="0" borderId="0" xfId="0" applyNumberFormat="1" applyAlignment="1">
      <alignment horizontal="right" vertical="center" wrapText="1"/>
    </xf>
    <xf numFmtId="0" fontId="10" fillId="0" borderId="0" xfId="0" applyFont="1"/>
    <xf numFmtId="43" fontId="16" fillId="4" borderId="8" xfId="1" applyFont="1" applyFill="1" applyBorder="1"/>
    <xf numFmtId="43" fontId="16" fillId="4" borderId="8" xfId="0" applyNumberFormat="1" applyFont="1" applyFill="1" applyBorder="1"/>
    <xf numFmtId="10" fontId="16" fillId="4" borderId="8" xfId="2" applyNumberFormat="1" applyFont="1" applyFill="1" applyBorder="1"/>
    <xf numFmtId="9" fontId="16" fillId="4" borderId="8" xfId="0" applyNumberFormat="1" applyFont="1" applyFill="1" applyBorder="1" applyAlignment="1">
      <alignment horizontal="right" vertical="center" wrapText="1"/>
    </xf>
    <xf numFmtId="43" fontId="16" fillId="4" borderId="8" xfId="0" applyNumberFormat="1" applyFont="1" applyFill="1" applyBorder="1" applyAlignment="1">
      <alignment horizontal="right" vertical="center" wrapText="1"/>
    </xf>
    <xf numFmtId="0" fontId="0" fillId="4" borderId="8" xfId="0" applyFont="1" applyFill="1" applyBorder="1" applyAlignment="1">
      <alignment horizontal="center" vertical="center" wrapText="1"/>
    </xf>
    <xf numFmtId="0" fontId="16" fillId="4" borderId="19" xfId="0" applyFont="1" applyFill="1" applyBorder="1" applyAlignment="1">
      <alignment wrapText="1"/>
    </xf>
    <xf numFmtId="0" fontId="16" fillId="4" borderId="20" xfId="0" applyFont="1" applyFill="1" applyBorder="1" applyAlignment="1">
      <alignment wrapText="1"/>
    </xf>
    <xf numFmtId="0" fontId="16" fillId="4" borderId="21" xfId="0" applyFont="1" applyFill="1" applyBorder="1" applyAlignment="1">
      <alignment wrapText="1"/>
    </xf>
    <xf numFmtId="43" fontId="16" fillId="4" borderId="24" xfId="1" applyFont="1" applyFill="1" applyBorder="1"/>
    <xf numFmtId="43" fontId="16" fillId="4" borderId="24" xfId="0" applyNumberFormat="1" applyFont="1" applyFill="1" applyBorder="1"/>
    <xf numFmtId="10" fontId="16" fillId="4" borderId="24" xfId="2" applyNumberFormat="1" applyFont="1" applyFill="1" applyBorder="1"/>
    <xf numFmtId="0" fontId="16" fillId="4" borderId="22" xfId="0" applyFont="1" applyFill="1" applyBorder="1" applyAlignment="1">
      <alignment wrapText="1"/>
    </xf>
    <xf numFmtId="0" fontId="16" fillId="4" borderId="19" xfId="0" applyFont="1" applyFill="1" applyBorder="1" applyAlignment="1">
      <alignment vertical="center" wrapText="1"/>
    </xf>
    <xf numFmtId="43" fontId="16" fillId="4" borderId="20" xfId="0" applyNumberFormat="1" applyFont="1" applyFill="1" applyBorder="1" applyAlignment="1">
      <alignment vertical="center" wrapText="1"/>
    </xf>
    <xf numFmtId="0" fontId="16" fillId="4" borderId="20" xfId="0" applyFont="1" applyFill="1" applyBorder="1" applyAlignment="1">
      <alignment vertical="center" wrapText="1"/>
    </xf>
    <xf numFmtId="14" fontId="16" fillId="4" borderId="20" xfId="0" applyNumberFormat="1" applyFont="1" applyFill="1" applyBorder="1" applyAlignment="1">
      <alignment vertical="center" wrapText="1"/>
    </xf>
    <xf numFmtId="0" fontId="16" fillId="4" borderId="21" xfId="0" applyFont="1" applyFill="1" applyBorder="1" applyAlignment="1">
      <alignment vertical="center" wrapText="1"/>
    </xf>
    <xf numFmtId="0" fontId="16" fillId="4" borderId="22" xfId="0" applyFont="1" applyFill="1" applyBorder="1" applyAlignment="1">
      <alignment vertical="center" wrapText="1"/>
    </xf>
    <xf numFmtId="0" fontId="0" fillId="4" borderId="20" xfId="0" applyFont="1" applyFill="1" applyBorder="1" applyAlignment="1">
      <alignment horizontal="center" vertical="center" wrapText="1"/>
    </xf>
    <xf numFmtId="9" fontId="16" fillId="4" borderId="24" xfId="0" applyNumberFormat="1" applyFont="1" applyFill="1" applyBorder="1" applyAlignment="1">
      <alignment horizontal="right" vertical="center" wrapText="1"/>
    </xf>
    <xf numFmtId="43" fontId="16" fillId="4" borderId="24" xfId="0" applyNumberFormat="1" applyFont="1" applyFill="1" applyBorder="1" applyAlignment="1">
      <alignment horizontal="right" vertical="center" wrapText="1"/>
    </xf>
    <xf numFmtId="0" fontId="0" fillId="4" borderId="24" xfId="0" applyFont="1" applyFill="1" applyBorder="1" applyAlignment="1">
      <alignment horizontal="center" vertical="center" wrapText="1"/>
    </xf>
    <xf numFmtId="0" fontId="0" fillId="4" borderId="22" xfId="0" applyFont="1" applyFill="1" applyBorder="1" applyAlignment="1">
      <alignment horizontal="center" vertical="center" wrapText="1"/>
    </xf>
    <xf numFmtId="43" fontId="16" fillId="4" borderId="20" xfId="0" applyNumberFormat="1" applyFont="1" applyFill="1" applyBorder="1" applyAlignment="1">
      <alignment horizontal="right" vertical="center" wrapText="1"/>
    </xf>
    <xf numFmtId="43" fontId="16" fillId="4" borderId="22" xfId="0" applyNumberFormat="1" applyFont="1" applyFill="1" applyBorder="1" applyAlignment="1">
      <alignment horizontal="right" vertical="center" wrapText="1"/>
    </xf>
    <xf numFmtId="0" fontId="15" fillId="7" borderId="27" xfId="0" applyFont="1" applyFill="1" applyBorder="1" applyAlignment="1">
      <alignment vertical="center" wrapText="1"/>
    </xf>
    <xf numFmtId="0" fontId="19" fillId="5" borderId="31" xfId="0" applyFont="1" applyFill="1" applyBorder="1" applyAlignment="1">
      <alignment horizontal="center"/>
    </xf>
    <xf numFmtId="0" fontId="19" fillId="5" borderId="32" xfId="0" applyFont="1" applyFill="1" applyBorder="1" applyAlignment="1">
      <alignment horizontal="center"/>
    </xf>
    <xf numFmtId="0" fontId="19" fillId="5" borderId="33" xfId="0" applyFont="1" applyFill="1" applyBorder="1" applyAlignment="1">
      <alignment horizontal="center"/>
    </xf>
    <xf numFmtId="0" fontId="0" fillId="6" borderId="0" xfId="0" applyFill="1"/>
    <xf numFmtId="0" fontId="0" fillId="6" borderId="0" xfId="0" applyFill="1" applyBorder="1"/>
    <xf numFmtId="0" fontId="2" fillId="7" borderId="9" xfId="0" applyFont="1" applyFill="1" applyBorder="1" applyAlignment="1">
      <alignment vertical="center" wrapText="1"/>
    </xf>
    <xf numFmtId="0" fontId="0" fillId="6" borderId="25" xfId="0" applyFill="1" applyBorder="1"/>
    <xf numFmtId="0" fontId="19" fillId="5" borderId="43" xfId="0" applyFont="1" applyFill="1" applyBorder="1" applyAlignment="1">
      <alignment horizontal="center"/>
    </xf>
    <xf numFmtId="10" fontId="16" fillId="4" borderId="36" xfId="2" applyNumberFormat="1" applyFont="1" applyFill="1" applyBorder="1"/>
    <xf numFmtId="10" fontId="16" fillId="4" borderId="37" xfId="2" applyNumberFormat="1" applyFont="1" applyFill="1" applyBorder="1"/>
    <xf numFmtId="0" fontId="19" fillId="5" borderId="34" xfId="0" applyFont="1" applyFill="1" applyBorder="1" applyAlignment="1">
      <alignment horizontal="center"/>
    </xf>
    <xf numFmtId="0" fontId="15" fillId="7" borderId="17" xfId="0" applyFont="1" applyFill="1" applyBorder="1" applyAlignment="1">
      <alignment horizontal="center" vertical="center" wrapText="1"/>
    </xf>
    <xf numFmtId="0" fontId="15" fillId="7" borderId="23" xfId="0" applyFont="1" applyFill="1" applyBorder="1" applyAlignment="1">
      <alignment horizontal="right" vertical="center" wrapText="1"/>
    </xf>
    <xf numFmtId="0" fontId="15" fillId="7" borderId="35" xfId="0" applyFont="1" applyFill="1" applyBorder="1" applyAlignment="1">
      <alignment horizontal="right" vertical="center" wrapText="1"/>
    </xf>
    <xf numFmtId="0" fontId="15" fillId="7" borderId="18" xfId="0" applyFont="1" applyFill="1" applyBorder="1" applyAlignment="1">
      <alignment horizontal="center" vertical="center" wrapText="1"/>
    </xf>
    <xf numFmtId="43" fontId="5" fillId="4" borderId="11" xfId="0" applyNumberFormat="1" applyFont="1" applyFill="1" applyBorder="1" applyAlignment="1">
      <alignment horizontal="center" vertical="center"/>
    </xf>
    <xf numFmtId="43" fontId="5" fillId="4" borderId="11" xfId="0" applyNumberFormat="1" applyFont="1" applyFill="1" applyBorder="1" applyAlignment="1">
      <alignment horizontal="center"/>
    </xf>
    <xf numFmtId="9" fontId="5" fillId="4" borderId="11" xfId="0" applyNumberFormat="1" applyFont="1" applyFill="1" applyBorder="1" applyAlignment="1">
      <alignment horizontal="center"/>
    </xf>
    <xf numFmtId="0" fontId="20" fillId="2" borderId="0" xfId="0" applyFont="1" applyFill="1" applyBorder="1" applyAlignment="1">
      <alignment horizontal="center" vertical="center"/>
    </xf>
    <xf numFmtId="0" fontId="0" fillId="6" borderId="0" xfId="0" applyFill="1" applyBorder="1" applyAlignment="1"/>
    <xf numFmtId="0" fontId="0" fillId="6" borderId="0" xfId="0" applyFill="1" applyBorder="1" applyAlignment="1">
      <alignment vertical="center"/>
    </xf>
    <xf numFmtId="0" fontId="0" fillId="3" borderId="8" xfId="0" applyFill="1" applyBorder="1" applyAlignment="1">
      <alignment horizontal="center" vertical="center"/>
    </xf>
    <xf numFmtId="0" fontId="0" fillId="4" borderId="30" xfId="0" applyFill="1" applyBorder="1" applyAlignment="1">
      <alignment horizontal="left" vertical="center" wrapText="1"/>
    </xf>
    <xf numFmtId="0" fontId="0" fillId="4" borderId="42" xfId="0" applyFill="1" applyBorder="1" applyAlignment="1">
      <alignment horizontal="left" vertical="center" wrapText="1"/>
    </xf>
    <xf numFmtId="0" fontId="0" fillId="4" borderId="28" xfId="0" applyFill="1" applyBorder="1" applyAlignment="1">
      <alignment horizontal="left" vertical="center" wrapText="1"/>
    </xf>
    <xf numFmtId="0" fontId="14" fillId="2" borderId="14" xfId="0" applyFont="1" applyFill="1" applyBorder="1" applyAlignment="1">
      <alignment horizontal="center" vertical="center"/>
    </xf>
    <xf numFmtId="0" fontId="14" fillId="2" borderId="16" xfId="0" applyFont="1" applyFill="1" applyBorder="1" applyAlignment="1">
      <alignment horizontal="center" vertical="center"/>
    </xf>
    <xf numFmtId="0" fontId="14" fillId="2" borderId="15" xfId="0" applyFont="1" applyFill="1" applyBorder="1" applyAlignment="1">
      <alignment horizontal="center" vertical="center"/>
    </xf>
    <xf numFmtId="0" fontId="19" fillId="5" borderId="14" xfId="0" applyFont="1" applyFill="1" applyBorder="1" applyAlignment="1">
      <alignment horizontal="center"/>
    </xf>
    <xf numFmtId="0" fontId="19" fillId="5" borderId="16" xfId="0" applyFont="1" applyFill="1" applyBorder="1" applyAlignment="1">
      <alignment horizontal="center"/>
    </xf>
    <xf numFmtId="0" fontId="9" fillId="2" borderId="9" xfId="0" applyFont="1" applyFill="1" applyBorder="1" applyAlignment="1">
      <alignment horizontal="center" vertical="center"/>
    </xf>
    <xf numFmtId="0" fontId="9" fillId="2" borderId="11" xfId="0" applyFont="1" applyFill="1" applyBorder="1" applyAlignment="1">
      <alignment horizontal="center" vertical="center"/>
    </xf>
    <xf numFmtId="0" fontId="14" fillId="2" borderId="2" xfId="0" applyFont="1" applyFill="1" applyBorder="1" applyAlignment="1">
      <alignment horizontal="center" vertical="center"/>
    </xf>
    <xf numFmtId="0" fontId="14" fillId="2" borderId="3"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5" xfId="0" applyFont="1" applyFill="1" applyBorder="1" applyAlignment="1">
      <alignment horizontal="center" vertical="center"/>
    </xf>
    <xf numFmtId="0" fontId="14" fillId="2" borderId="6" xfId="0" applyFont="1" applyFill="1" applyBorder="1" applyAlignment="1">
      <alignment horizontal="center" vertical="center"/>
    </xf>
    <xf numFmtId="0" fontId="14" fillId="2" borderId="7" xfId="0" applyFont="1" applyFill="1" applyBorder="1" applyAlignment="1">
      <alignment horizontal="center" vertical="center"/>
    </xf>
    <xf numFmtId="0" fontId="14" fillId="8" borderId="2" xfId="0" applyFont="1" applyFill="1" applyBorder="1" applyAlignment="1">
      <alignment horizontal="center" vertical="center"/>
    </xf>
    <xf numFmtId="0" fontId="14" fillId="8" borderId="3" xfId="0" applyFont="1" applyFill="1" applyBorder="1" applyAlignment="1">
      <alignment horizontal="center" vertical="center"/>
    </xf>
    <xf numFmtId="0" fontId="14" fillId="8" borderId="4" xfId="0" applyFont="1" applyFill="1" applyBorder="1" applyAlignment="1">
      <alignment horizontal="center" vertical="center"/>
    </xf>
    <xf numFmtId="0" fontId="14" fillId="8" borderId="5" xfId="0" applyFont="1" applyFill="1" applyBorder="1" applyAlignment="1">
      <alignment horizontal="center" vertical="center"/>
    </xf>
    <xf numFmtId="0" fontId="14" fillId="8" borderId="6" xfId="0" applyFont="1" applyFill="1" applyBorder="1" applyAlignment="1">
      <alignment horizontal="center" vertical="center"/>
    </xf>
    <xf numFmtId="0" fontId="14" fillId="8" borderId="7" xfId="0" applyFont="1" applyFill="1" applyBorder="1" applyAlignment="1">
      <alignment horizontal="center" vertical="center"/>
    </xf>
  </cellXfs>
  <cellStyles count="3">
    <cellStyle name="Comma" xfId="1" builtinId="3"/>
    <cellStyle name="Normal" xfId="0" builtinId="0"/>
    <cellStyle name="Percent" xfId="2" builtinId="5"/>
  </cellStyles>
  <dxfs count="76">
    <dxf>
      <font>
        <strike val="0"/>
        <outline val="0"/>
        <shadow val="0"/>
        <u val="none"/>
        <vertAlign val="baseline"/>
        <sz val="17"/>
        <color theme="1"/>
        <name val="Calibri"/>
        <family val="2"/>
        <scheme val="minor"/>
      </font>
    </dxf>
    <dxf>
      <font>
        <strike val="0"/>
        <outline val="0"/>
        <shadow val="0"/>
        <u val="none"/>
        <vertAlign val="baseline"/>
        <sz val="17"/>
        <color theme="1"/>
        <name val="Calibri"/>
        <family val="2"/>
        <scheme val="minor"/>
      </font>
    </dxf>
    <dxf>
      <font>
        <b/>
        <i val="0"/>
        <strike val="0"/>
        <condense val="0"/>
        <extend val="0"/>
        <outline val="0"/>
        <shadow val="0"/>
        <u val="none"/>
        <vertAlign val="baseline"/>
        <sz val="17"/>
        <color theme="1"/>
        <name val="Calibri"/>
        <family val="2"/>
        <scheme val="minor"/>
      </font>
      <fill>
        <patternFill patternType="solid">
          <fgColor indexed="64"/>
          <bgColor theme="4" tint="0.59999389629810485"/>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7"/>
        <color theme="1"/>
        <name val="Calibri"/>
        <family val="2"/>
        <scheme val="minor"/>
      </font>
      <numFmt numFmtId="3" formatCode="#,##0"/>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dxf>
    <dxf>
      <font>
        <strike val="0"/>
        <outline val="0"/>
        <shadow val="0"/>
        <u val="none"/>
        <vertAlign val="baseline"/>
        <sz val="17"/>
        <color theme="1"/>
        <name val="Calibri"/>
        <family val="2"/>
        <scheme val="minor"/>
      </font>
    </dxf>
    <dxf>
      <font>
        <b/>
        <i val="0"/>
        <strike val="0"/>
        <condense val="0"/>
        <extend val="0"/>
        <outline val="0"/>
        <shadow val="0"/>
        <u val="none"/>
        <vertAlign val="baseline"/>
        <sz val="17"/>
        <color theme="1"/>
        <name val="Calibri"/>
        <family val="2"/>
        <scheme val="minor"/>
      </font>
      <fill>
        <patternFill patternType="solid">
          <fgColor indexed="64"/>
          <bgColor theme="4" tint="0.59999389629810485"/>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dxf>
    <dxf>
      <font>
        <strike val="0"/>
        <outline val="0"/>
        <shadow val="0"/>
        <u val="none"/>
        <vertAlign val="baseline"/>
        <sz val="17"/>
        <color theme="1"/>
        <name val="Calibri"/>
        <family val="2"/>
        <scheme val="minor"/>
      </font>
    </dxf>
    <dxf>
      <font>
        <b/>
        <i val="0"/>
        <strike val="0"/>
        <condense val="0"/>
        <extend val="0"/>
        <outline val="0"/>
        <shadow val="0"/>
        <u val="none"/>
        <vertAlign val="baseline"/>
        <sz val="17"/>
        <color theme="1"/>
        <name val="Calibri"/>
        <family val="2"/>
        <scheme val="minor"/>
      </font>
      <fill>
        <patternFill patternType="solid">
          <fgColor indexed="64"/>
          <bgColor theme="4" tint="0.59999389629810485"/>
        </patternFill>
      </fill>
      <alignment horizontal="left" vertical="bottom"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indexed="64"/>
        </left>
        <right/>
        <top/>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left style="thin">
          <color indexed="64"/>
        </left>
        <right/>
        <top style="thin">
          <color indexed="64"/>
        </top>
        <bottom style="thin">
          <color indexed="64"/>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general" vertical="center" textRotation="0" wrapText="1" indent="0" justifyLastLine="0" shrinkToFit="0" readingOrder="0"/>
      <border diagonalUp="0" diagonalDown="0" outline="0">
        <left/>
        <right style="thin">
          <color indexed="64"/>
        </right>
        <top/>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7"/>
        <color theme="1"/>
        <name val="Calibri"/>
        <family val="2"/>
        <scheme val="minor"/>
      </font>
    </dxf>
    <dxf>
      <font>
        <strike val="0"/>
        <outline val="0"/>
        <shadow val="0"/>
        <u val="none"/>
        <vertAlign val="baseline"/>
        <sz val="17"/>
        <color theme="1"/>
        <name val="Calibri"/>
        <family val="2"/>
        <scheme val="minor"/>
      </font>
    </dxf>
    <dxf>
      <font>
        <b/>
        <i val="0"/>
        <strike val="0"/>
        <condense val="0"/>
        <extend val="0"/>
        <outline val="0"/>
        <shadow val="0"/>
        <u val="none"/>
        <vertAlign val="baseline"/>
        <sz val="17"/>
        <color theme="1"/>
        <name val="Calibri"/>
        <family val="2"/>
        <scheme val="minor"/>
      </font>
      <fill>
        <patternFill patternType="solid">
          <fgColor indexed="64"/>
          <bgColor theme="4" tint="0.59999389629810485"/>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indexed="64"/>
        </left>
        <right/>
        <top/>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left style="thin">
          <color indexed="64"/>
        </left>
        <right/>
        <top style="thin">
          <color indexed="64"/>
        </top>
        <bottom style="thin">
          <color indexed="64"/>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general" vertical="center" textRotation="0" wrapText="1" indent="0" justifyLastLine="0" shrinkToFit="0" readingOrder="0"/>
      <border diagonalUp="0" diagonalDown="0" outline="0">
        <left/>
        <right style="thin">
          <color indexed="64"/>
        </right>
        <top/>
        <bottom/>
      </border>
    </dxf>
    <dxf>
      <font>
        <strike val="0"/>
        <outline val="0"/>
        <shadow val="0"/>
        <u val="none"/>
        <vertAlign val="baseline"/>
        <sz val="17"/>
        <color theme="1"/>
        <name val="Calibri"/>
        <family val="2"/>
        <scheme val="minor"/>
      </font>
      <fill>
        <patternFill patternType="solid">
          <fgColor indexed="64"/>
          <bgColor theme="8" tint="0.79998168889431442"/>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fill>
        <patternFill patternType="solid">
          <fgColor indexed="64"/>
          <bgColor theme="8" tint="0.79998168889431442"/>
        </patternFill>
      </fill>
      <alignment horizontal="general" vertical="center" textRotation="0" wrapText="1" indent="0" justifyLastLine="0" shrinkToFit="0" readingOrder="0"/>
      <border diagonalUp="0" diagonalDown="0" outline="0">
        <left/>
        <right style="thin">
          <color indexed="64"/>
        </right>
        <top style="thin">
          <color indexed="64"/>
        </top>
        <bottom/>
      </border>
    </dxf>
    <dxf>
      <fill>
        <patternFill patternType="solid">
          <fgColor indexed="64"/>
          <bgColor theme="8"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ill>
        <patternFill patternType="solid">
          <fgColor indexed="64"/>
          <bgColor theme="8"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dxf>
    <dxf>
      <fill>
        <patternFill patternType="solid">
          <fgColor indexed="64"/>
          <bgColor theme="8" tint="0.79998168889431442"/>
        </patternFill>
      </fill>
      <alignment horizontal="general" vertical="center" textRotation="0" wrapText="1" indent="0" justifyLastLine="0" shrinkToFit="0" readingOrder="0"/>
      <border diagonalUp="0" diagonalDown="0" outline="0">
        <left style="thin">
          <color indexed="64"/>
        </left>
        <right/>
        <top style="thin">
          <color indexed="64"/>
        </top>
        <bottom/>
      </border>
    </dxf>
    <dxf>
      <fill>
        <patternFill patternType="solid">
          <fgColor indexed="64"/>
          <bgColor theme="8" tint="0.79998168889431442"/>
        </patternFill>
      </fill>
      <alignment horizontal="general" vertical="center" textRotation="0" wrapText="1" indent="0" justifyLastLine="0" shrinkToFit="0" readingOrder="0"/>
      <border diagonalUp="0" diagonalDown="0" outline="0">
        <left/>
        <right style="thin">
          <color indexed="64"/>
        </right>
        <top style="thin">
          <color indexed="64"/>
        </top>
        <bottom/>
      </border>
    </dxf>
    <dxf>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dxf>
    <dxf>
      <fill>
        <patternFill patternType="solid">
          <fgColor indexed="64"/>
          <bgColor theme="8"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indexed="64"/>
        </left>
        <right/>
        <top style="thin">
          <color indexed="64"/>
        </top>
        <bottom/>
      </border>
    </dxf>
    <dxf>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dxf>
    <dxf>
      <fill>
        <patternFill patternType="solid">
          <fgColor indexed="64"/>
          <bgColor theme="8" tint="0.7999816888943144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dxf>
    <dxf>
      <border outline="0">
        <top style="thin">
          <color indexed="64"/>
        </top>
      </border>
    </dxf>
    <dxf>
      <border outline="0">
        <bottom style="thin">
          <color indexed="64"/>
        </bottom>
      </border>
    </dxf>
    <dxf>
      <border outline="0">
        <left style="medium">
          <color indexed="64"/>
        </left>
        <right style="medium">
          <color indexed="64"/>
        </right>
        <top style="medium">
          <color indexed="64"/>
        </top>
        <bottom style="medium">
          <color indexed="64"/>
        </bottom>
      </border>
    </dxf>
    <dxf>
      <border outline="0">
        <top style="thin">
          <color indexed="64"/>
        </top>
      </border>
    </dxf>
    <dxf>
      <border outline="0">
        <bottom style="thin">
          <color indexed="64"/>
        </bottom>
      </border>
    </dxf>
    <dxf>
      <border outline="0">
        <left style="medium">
          <color indexed="64"/>
        </left>
        <right style="medium">
          <color indexed="64"/>
        </right>
        <top style="medium">
          <color indexed="64"/>
        </top>
        <bottom style="medium">
          <color indexed="64"/>
        </bottom>
      </border>
    </dxf>
    <dxf>
      <border outline="0">
        <top style="thin">
          <color indexed="64"/>
        </top>
      </border>
    </dxf>
    <dxf>
      <border outline="0">
        <bottom style="thin">
          <color indexed="64"/>
        </bottom>
      </border>
    </dxf>
    <dxf>
      <border outline="0">
        <left style="medium">
          <color indexed="64"/>
        </left>
        <right style="medium">
          <color indexed="64"/>
        </right>
        <top style="medium">
          <color indexed="64"/>
        </top>
        <bottom style="medium">
          <color indexed="64"/>
        </bottom>
      </border>
    </dxf>
    <dxf>
      <border outline="0">
        <top style="thin">
          <color indexed="64"/>
        </top>
      </border>
    </dxf>
    <dxf>
      <border outline="0">
        <bottom style="thin">
          <color indexed="64"/>
        </bottom>
      </border>
    </dxf>
    <dxf>
      <border outline="0">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Monthly Income vs Expenses (₹)</a:t>
            </a:r>
          </a:p>
        </c:rich>
      </c:tx>
      <c:overlay val="0"/>
      <c:spPr>
        <a:solidFill>
          <a:schemeClr val="accent4">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barChart>
        <c:barDir val="col"/>
        <c:grouping val="clustered"/>
        <c:varyColors val="0"/>
        <c:ser>
          <c:idx val="0"/>
          <c:order val="0"/>
          <c:tx>
            <c:strRef>
              <c:f>Analysis!$B$4</c:f>
              <c:strCache>
                <c:ptCount val="1"/>
                <c:pt idx="0">
                  <c:v>Total Income</c:v>
                </c:pt>
              </c:strCache>
            </c:strRef>
          </c:tx>
          <c:spPr>
            <a:solidFill>
              <a:schemeClr val="accent1"/>
            </a:solidFill>
            <a:ln>
              <a:noFill/>
            </a:ln>
            <a:effectLst/>
          </c:spPr>
          <c:invertIfNegative val="0"/>
          <c:cat>
            <c:strRef>
              <c:f>Analysis!$A$5:$A$16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Analysis!$B$5:$B$16</c:f>
              <c:numCache>
                <c:formatCode>_(* #,##0.00_);_(* \(#,##0.00\);_(* "-"??_);_(@_)</c:formatCode>
                <c:ptCount val="12"/>
                <c:pt idx="0">
                  <c:v>52000</c:v>
                </c:pt>
                <c:pt idx="1">
                  <c:v>54000</c:v>
                </c:pt>
                <c:pt idx="2">
                  <c:v>52000</c:v>
                </c:pt>
                <c:pt idx="3">
                  <c:v>53500</c:v>
                </c:pt>
                <c:pt idx="4">
                  <c:v>52000</c:v>
                </c:pt>
                <c:pt idx="5">
                  <c:v>54500</c:v>
                </c:pt>
                <c:pt idx="6">
                  <c:v>82000</c:v>
                </c:pt>
                <c:pt idx="7">
                  <c:v>52000</c:v>
                </c:pt>
                <c:pt idx="8">
                  <c:v>52000</c:v>
                </c:pt>
                <c:pt idx="9">
                  <c:v>53000</c:v>
                </c:pt>
                <c:pt idx="10">
                  <c:v>52000</c:v>
                </c:pt>
                <c:pt idx="11">
                  <c:v>55000</c:v>
                </c:pt>
              </c:numCache>
            </c:numRef>
          </c:val>
          <c:extLst>
            <c:ext xmlns:c16="http://schemas.microsoft.com/office/drawing/2014/chart" uri="{C3380CC4-5D6E-409C-BE32-E72D297353CC}">
              <c16:uniqueId val="{00000000-1C79-4E5E-87F7-E259E9FD7EAC}"/>
            </c:ext>
          </c:extLst>
        </c:ser>
        <c:ser>
          <c:idx val="1"/>
          <c:order val="1"/>
          <c:tx>
            <c:strRef>
              <c:f>Analysis!$C$4</c:f>
              <c:strCache>
                <c:ptCount val="1"/>
                <c:pt idx="0">
                  <c:v>Total Expenses</c:v>
                </c:pt>
              </c:strCache>
            </c:strRef>
          </c:tx>
          <c:spPr>
            <a:solidFill>
              <a:schemeClr val="accent2"/>
            </a:solidFill>
            <a:ln>
              <a:noFill/>
            </a:ln>
            <a:effectLst/>
          </c:spPr>
          <c:invertIfNegative val="0"/>
          <c:cat>
            <c:strRef>
              <c:f>Analysis!$A$5:$A$16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Analysis!$C$5:$C$16</c:f>
              <c:numCache>
                <c:formatCode>_(* #,##0.00_);_(* \(#,##0.00\);_(* "-"??_);_(@_)</c:formatCode>
                <c:ptCount val="12"/>
                <c:pt idx="0">
                  <c:v>37500</c:v>
                </c:pt>
                <c:pt idx="1">
                  <c:v>37400</c:v>
                </c:pt>
                <c:pt idx="2">
                  <c:v>79600</c:v>
                </c:pt>
                <c:pt idx="3">
                  <c:v>35900</c:v>
                </c:pt>
                <c:pt idx="4">
                  <c:v>37700</c:v>
                </c:pt>
                <c:pt idx="5">
                  <c:v>39300</c:v>
                </c:pt>
                <c:pt idx="6">
                  <c:v>41600</c:v>
                </c:pt>
                <c:pt idx="7">
                  <c:v>37600</c:v>
                </c:pt>
                <c:pt idx="8">
                  <c:v>63000</c:v>
                </c:pt>
                <c:pt idx="9">
                  <c:v>39100</c:v>
                </c:pt>
                <c:pt idx="10">
                  <c:v>36900</c:v>
                </c:pt>
                <c:pt idx="11">
                  <c:v>44000</c:v>
                </c:pt>
              </c:numCache>
            </c:numRef>
          </c:val>
          <c:extLst>
            <c:ext xmlns:c16="http://schemas.microsoft.com/office/drawing/2014/chart" uri="{C3380CC4-5D6E-409C-BE32-E72D297353CC}">
              <c16:uniqueId val="{00000001-1C79-4E5E-87F7-E259E9FD7EAC}"/>
            </c:ext>
          </c:extLst>
        </c:ser>
        <c:dLbls>
          <c:showLegendKey val="0"/>
          <c:showVal val="0"/>
          <c:showCatName val="0"/>
          <c:showSerName val="0"/>
          <c:showPercent val="0"/>
          <c:showBubbleSize val="0"/>
        </c:dLbls>
        <c:gapWidth val="99"/>
        <c:overlap val="-27"/>
        <c:axId val="1366211024"/>
        <c:axId val="1366214384"/>
      </c:barChart>
      <c:catAx>
        <c:axId val="136621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1366214384"/>
        <c:crosses val="autoZero"/>
        <c:auto val="1"/>
        <c:lblAlgn val="ctr"/>
        <c:lblOffset val="100"/>
        <c:noMultiLvlLbl val="0"/>
      </c:catAx>
      <c:valAx>
        <c:axId val="1366214384"/>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1366211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Annual Expense Breakdown</a:t>
            </a:r>
          </a:p>
        </c:rich>
      </c:tx>
      <c:layout>
        <c:manualLayout>
          <c:xMode val="edge"/>
          <c:yMode val="edge"/>
          <c:x val="0.20814302129188902"/>
          <c:y val="1.4556958398046846E-2"/>
        </c:manualLayout>
      </c:layout>
      <c:overlay val="0"/>
      <c:spPr>
        <a:solidFill>
          <a:schemeClr val="accent4">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manualLayout>
          <c:layoutTarget val="inner"/>
          <c:xMode val="edge"/>
          <c:yMode val="edge"/>
          <c:x val="0.25804034980857715"/>
          <c:y val="0.21515069890593569"/>
          <c:w val="0.4839193003828457"/>
          <c:h val="0.65747706132835115"/>
        </c:manualLayout>
      </c:layout>
      <c:doughnutChart>
        <c:varyColors val="1"/>
        <c:ser>
          <c:idx val="0"/>
          <c:order val="0"/>
          <c:tx>
            <c:strRef>
              <c:f>Analysis!$B$19</c:f>
              <c:strCache>
                <c:ptCount val="1"/>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B5-4BDA-A87E-6A09E8E302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B5-4BDA-A87E-6A09E8E302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B5-4BDA-A87E-6A09E8E302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9B5-4BDA-A87E-6A09E8E302C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9B5-4BDA-A87E-6A09E8E302C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9B5-4BDA-A87E-6A09E8E302C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9B5-4BDA-A87E-6A09E8E302C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9B5-4BDA-A87E-6A09E8E302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Analysis!$A$20:$A$27</c:f>
              <c:strCache>
                <c:ptCount val="8"/>
                <c:pt idx="0">
                  <c:v>Rent</c:v>
                </c:pt>
                <c:pt idx="1">
                  <c:v>Food</c:v>
                </c:pt>
                <c:pt idx="2">
                  <c:v>Utilities</c:v>
                </c:pt>
                <c:pt idx="3">
                  <c:v>Transport</c:v>
                </c:pt>
                <c:pt idx="4">
                  <c:v>Shopping</c:v>
                </c:pt>
                <c:pt idx="5">
                  <c:v>Entertainment</c:v>
                </c:pt>
                <c:pt idx="6">
                  <c:v>Parents</c:v>
                </c:pt>
                <c:pt idx="7">
                  <c:v>Misc.</c:v>
                </c:pt>
              </c:strCache>
            </c:strRef>
          </c:cat>
          <c:val>
            <c:numRef>
              <c:f>Analysis!$B$20:$B$27</c:f>
              <c:numCache>
                <c:formatCode>General</c:formatCode>
                <c:ptCount val="8"/>
              </c:numCache>
            </c:numRef>
          </c:val>
          <c:extLst>
            <c:ext xmlns:c16="http://schemas.microsoft.com/office/drawing/2014/chart" uri="{C3380CC4-5D6E-409C-BE32-E72D297353CC}">
              <c16:uniqueId val="{00000010-E9B5-4BDA-A87E-6A09E8E302C1}"/>
            </c:ext>
          </c:extLst>
        </c:ser>
        <c:ser>
          <c:idx val="1"/>
          <c:order val="1"/>
          <c:tx>
            <c:strRef>
              <c:f>Analysis!$C$19</c:f>
              <c:strCache>
                <c:ptCount val="1"/>
                <c:pt idx="0">
                  <c:v>Annual 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2-E9B5-4BDA-A87E-6A09E8E302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4-E9B5-4BDA-A87E-6A09E8E302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6-E9B5-4BDA-A87E-6A09E8E302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8-E9B5-4BDA-A87E-6A09E8E302C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A-E9B5-4BDA-A87E-6A09E8E302C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C-E9B5-4BDA-A87E-6A09E8E302C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E-E9B5-4BDA-A87E-6A09E8E302C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0-E9B5-4BDA-A87E-6A09E8E302C1}"/>
              </c:ext>
            </c:extLst>
          </c:dPt>
          <c:dLbls>
            <c:dLbl>
              <c:idx val="0"/>
              <c:layout>
                <c:manualLayout>
                  <c:x val="5.5555555555555552E-2"/>
                  <c:y val="-0.111111111111111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2-E9B5-4BDA-A87E-6A09E8E302C1}"/>
                </c:ext>
              </c:extLst>
            </c:dLbl>
            <c:dLbl>
              <c:idx val="1"/>
              <c:layout>
                <c:manualLayout>
                  <c:x val="0.18095237291767552"/>
                  <c:y val="-7.08274350906754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4-E9B5-4BDA-A87E-6A09E8E302C1}"/>
                </c:ext>
              </c:extLst>
            </c:dLbl>
            <c:dLbl>
              <c:idx val="2"/>
              <c:layout>
                <c:manualLayout>
                  <c:x val="0.13095240103914446"/>
                  <c:y val="7.407390426411883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6-E9B5-4BDA-A87E-6A09E8E302C1}"/>
                </c:ext>
              </c:extLst>
            </c:dLbl>
            <c:dLbl>
              <c:idx val="3"/>
              <c:layout>
                <c:manualLayout>
                  <c:x val="-6.1507839421912583E-2"/>
                  <c:y val="0.1010711399703129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8-E9B5-4BDA-A87E-6A09E8E302C1}"/>
                </c:ext>
              </c:extLst>
            </c:dLbl>
            <c:dLbl>
              <c:idx val="4"/>
              <c:layout>
                <c:manualLayout>
                  <c:x val="-0.18095237291767552"/>
                  <c:y val="6.944433300666134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A-E9B5-4BDA-A87E-6A09E8E302C1}"/>
                </c:ext>
              </c:extLst>
            </c:dLbl>
            <c:dLbl>
              <c:idx val="5"/>
              <c:layout>
                <c:manualLayout>
                  <c:x val="-0.15952381354116224"/>
                  <c:y val="-3.5079595232500607E-2"/>
                </c:manualLayout>
              </c:layout>
              <c:showLegendKey val="0"/>
              <c:showVal val="0"/>
              <c:showCatName val="1"/>
              <c:showSerName val="0"/>
              <c:showPercent val="1"/>
              <c:showBubbleSize val="0"/>
              <c:extLst>
                <c:ext xmlns:c15="http://schemas.microsoft.com/office/drawing/2012/chart" uri="{CE6537A1-D6FC-4f65-9D91-7224C49458BB}">
                  <c15:layout>
                    <c:manualLayout>
                      <c:w val="0.23619334297337291"/>
                      <c:h val="0.19410194837819819"/>
                    </c:manualLayout>
                  </c15:layout>
                </c:ext>
                <c:ext xmlns:c16="http://schemas.microsoft.com/office/drawing/2014/chart" uri="{C3380CC4-5D6E-409C-BE32-E72D297353CC}">
                  <c16:uniqueId val="{0000001C-E9B5-4BDA-A87E-6A09E8E302C1}"/>
                </c:ext>
              </c:extLst>
            </c:dLbl>
            <c:dLbl>
              <c:idx val="6"/>
              <c:layout>
                <c:manualLayout>
                  <c:x val="-9.3650678486682515E-2"/>
                  <c:y val="-0.1453468357719104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E-E9B5-4BDA-A87E-6A09E8E302C1}"/>
                </c:ext>
              </c:extLst>
            </c:dLbl>
            <c:dLbl>
              <c:idx val="7"/>
              <c:layout>
                <c:manualLayout>
                  <c:x val="-6.3888888888888884E-2"/>
                  <c:y val="-8.796296296296297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0-E9B5-4BDA-A87E-6A09E8E302C1}"/>
                </c:ext>
              </c:extLst>
            </c:dLbl>
            <c:spPr>
              <a:solidFill>
                <a:sysClr val="window" lastClr="FFFFFF">
                  <a:lumMod val="9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Analysis!$A$20:$A$27</c:f>
              <c:strCache>
                <c:ptCount val="8"/>
                <c:pt idx="0">
                  <c:v>Rent</c:v>
                </c:pt>
                <c:pt idx="1">
                  <c:v>Food</c:v>
                </c:pt>
                <c:pt idx="2">
                  <c:v>Utilities</c:v>
                </c:pt>
                <c:pt idx="3">
                  <c:v>Transport</c:v>
                </c:pt>
                <c:pt idx="4">
                  <c:v>Shopping</c:v>
                </c:pt>
                <c:pt idx="5">
                  <c:v>Entertainment</c:v>
                </c:pt>
                <c:pt idx="6">
                  <c:v>Parents</c:v>
                </c:pt>
                <c:pt idx="7">
                  <c:v>Misc.</c:v>
                </c:pt>
              </c:strCache>
            </c:strRef>
          </c:cat>
          <c:val>
            <c:numRef>
              <c:f>Analysis!$C$20:$C$27</c:f>
              <c:numCache>
                <c:formatCode>_(* #,##0.00_);_(* \(#,##0.00\);_(* "-"??_);_(@_)</c:formatCode>
                <c:ptCount val="8"/>
                <c:pt idx="0">
                  <c:v>180000</c:v>
                </c:pt>
                <c:pt idx="1">
                  <c:v>76200</c:v>
                </c:pt>
                <c:pt idx="2">
                  <c:v>32400</c:v>
                </c:pt>
                <c:pt idx="3">
                  <c:v>30900</c:v>
                </c:pt>
                <c:pt idx="4">
                  <c:v>37000</c:v>
                </c:pt>
                <c:pt idx="5">
                  <c:v>29300</c:v>
                </c:pt>
                <c:pt idx="6">
                  <c:v>60000</c:v>
                </c:pt>
                <c:pt idx="7">
                  <c:v>83800</c:v>
                </c:pt>
              </c:numCache>
            </c:numRef>
          </c:val>
          <c:extLst>
            <c:ext xmlns:c16="http://schemas.microsoft.com/office/drawing/2014/chart" uri="{C3380CC4-5D6E-409C-BE32-E72D297353CC}">
              <c16:uniqueId val="{00000021-E9B5-4BDA-A87E-6A09E8E302C1}"/>
            </c:ext>
          </c:extLst>
        </c:ser>
        <c:dLbls>
          <c:showLegendKey val="0"/>
          <c:showVal val="1"/>
          <c:showCatName val="0"/>
          <c:showSerName val="0"/>
          <c:showPercent val="0"/>
          <c:showBubbleSize val="0"/>
          <c:showLeaderLines val="1"/>
        </c:dLbls>
        <c:firstSliceAng val="0"/>
        <c:holeSize val="5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Five-Year Savings Projection</a:t>
            </a:r>
          </a:p>
        </c:rich>
      </c:tx>
      <c:overlay val="0"/>
      <c:spPr>
        <a:solidFill>
          <a:schemeClr val="accent4">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lineChart>
        <c:grouping val="standard"/>
        <c:varyColors val="0"/>
        <c:ser>
          <c:idx val="0"/>
          <c:order val="0"/>
          <c:tx>
            <c:strRef>
              <c:f>'Planning &amp; Forecasting'!$D$14</c:f>
              <c:strCache>
                <c:ptCount val="1"/>
                <c:pt idx="0">
                  <c:v>Cumulative Savings</c:v>
                </c:pt>
              </c:strCache>
            </c:strRef>
          </c:tx>
          <c:spPr>
            <a:ln w="76200" cap="rnd">
              <a:solidFill>
                <a:schemeClr val="accent1"/>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3-F764-4769-8566-5108F924A6AB}"/>
                </c:ext>
              </c:extLst>
            </c:dLbl>
            <c:dLbl>
              <c:idx val="1"/>
              <c:delete val="1"/>
              <c:extLst>
                <c:ext xmlns:c15="http://schemas.microsoft.com/office/drawing/2012/chart" uri="{CE6537A1-D6FC-4f65-9D91-7224C49458BB}"/>
                <c:ext xmlns:c16="http://schemas.microsoft.com/office/drawing/2014/chart" uri="{C3380CC4-5D6E-409C-BE32-E72D297353CC}">
                  <c16:uniqueId val="{00000002-F764-4769-8566-5108F924A6AB}"/>
                </c:ext>
              </c:extLst>
            </c:dLbl>
            <c:dLbl>
              <c:idx val="2"/>
              <c:delete val="1"/>
              <c:extLst>
                <c:ext xmlns:c15="http://schemas.microsoft.com/office/drawing/2012/chart" uri="{CE6537A1-D6FC-4f65-9D91-7224C49458BB}"/>
                <c:ext xmlns:c16="http://schemas.microsoft.com/office/drawing/2014/chart" uri="{C3380CC4-5D6E-409C-BE32-E72D297353CC}">
                  <c16:uniqueId val="{00000001-F764-4769-8566-5108F924A6AB}"/>
                </c:ext>
              </c:extLst>
            </c:dLbl>
            <c:dLbl>
              <c:idx val="3"/>
              <c:delete val="1"/>
              <c:extLst>
                <c:ext xmlns:c15="http://schemas.microsoft.com/office/drawing/2012/chart" uri="{CE6537A1-D6FC-4f65-9D91-7224C49458BB}"/>
                <c:ext xmlns:c16="http://schemas.microsoft.com/office/drawing/2014/chart" uri="{C3380CC4-5D6E-409C-BE32-E72D297353CC}">
                  <c16:uniqueId val="{00000004-F764-4769-8566-5108F924A6AB}"/>
                </c:ext>
              </c:extLst>
            </c:dLbl>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'Planning &amp; Forecasting'!$A$15:$A$19</c:f>
              <c:strCache>
                <c:ptCount val="5"/>
                <c:pt idx="0">
                  <c:v>Year 1</c:v>
                </c:pt>
                <c:pt idx="1">
                  <c:v>Year 2</c:v>
                </c:pt>
                <c:pt idx="2">
                  <c:v>Year 3</c:v>
                </c:pt>
                <c:pt idx="3">
                  <c:v>Year 4</c:v>
                </c:pt>
                <c:pt idx="4">
                  <c:v>Year 5</c:v>
                </c:pt>
              </c:strCache>
            </c:strRef>
          </c:cat>
          <c:val>
            <c:numRef>
              <c:f>'Planning &amp; Forecasting'!$D$15:$D$19</c:f>
              <c:numCache>
                <c:formatCode>_(* #,##0.00_);_(* \(#,##0.00\);_(* "-"??_);_(@_)</c:formatCode>
                <c:ptCount val="5"/>
                <c:pt idx="0">
                  <c:v>134400</c:v>
                </c:pt>
                <c:pt idx="1">
                  <c:v>279552</c:v>
                </c:pt>
                <c:pt idx="2">
                  <c:v>436316.16000000003</c:v>
                </c:pt>
                <c:pt idx="3">
                  <c:v>605621.45280000009</c:v>
                </c:pt>
                <c:pt idx="4">
                  <c:v>788471.16902400018</c:v>
                </c:pt>
              </c:numCache>
            </c:numRef>
          </c:val>
          <c:smooth val="0"/>
          <c:extLst>
            <c:ext xmlns:c16="http://schemas.microsoft.com/office/drawing/2014/chart" uri="{C3380CC4-5D6E-409C-BE32-E72D297353CC}">
              <c16:uniqueId val="{00000000-F764-4769-8566-5108F924A6AB}"/>
            </c:ext>
          </c:extLst>
        </c:ser>
        <c:dLbls>
          <c:dLblPos val="t"/>
          <c:showLegendKey val="0"/>
          <c:showVal val="1"/>
          <c:showCatName val="0"/>
          <c:showSerName val="0"/>
          <c:showPercent val="0"/>
          <c:showBubbleSize val="0"/>
        </c:dLbls>
        <c:smooth val="0"/>
        <c:axId val="96068032"/>
        <c:axId val="96068992"/>
      </c:lineChart>
      <c:catAx>
        <c:axId val="9606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96068992"/>
        <c:crosses val="autoZero"/>
        <c:auto val="1"/>
        <c:lblAlgn val="ctr"/>
        <c:lblOffset val="100"/>
        <c:noMultiLvlLbl val="0"/>
      </c:catAx>
      <c:valAx>
        <c:axId val="96068992"/>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96068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Goal Progress</a:t>
            </a:r>
          </a:p>
        </c:rich>
      </c:tx>
      <c:layout>
        <c:manualLayout>
          <c:xMode val="edge"/>
          <c:yMode val="edge"/>
          <c:x val="0.38365266841644796"/>
          <c:y val="1.3888888888888888E-2"/>
        </c:manualLayout>
      </c:layout>
      <c:overlay val="0"/>
      <c:spPr>
        <a:solidFill>
          <a:schemeClr val="accent4">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barChart>
        <c:barDir val="col"/>
        <c:grouping val="percentStacked"/>
        <c:varyColors val="0"/>
        <c:ser>
          <c:idx val="0"/>
          <c:order val="0"/>
          <c:tx>
            <c:strRef>
              <c:f>'Planning &amp; Forecasting'!$F$4</c:f>
              <c:strCache>
                <c:ptCount val="1"/>
                <c:pt idx="0">
                  <c:v>Completion %</c:v>
                </c:pt>
              </c:strCache>
            </c:strRef>
          </c:tx>
          <c:spPr>
            <a:solidFill>
              <a:schemeClr val="accent1"/>
            </a:solidFill>
            <a:ln>
              <a:noFill/>
            </a:ln>
            <a:effectLst/>
          </c:spPr>
          <c:invertIfNegative val="0"/>
          <c:cat>
            <c:strRef>
              <c:f>'Planning &amp; Forecasting'!$A$5:$A$8</c:f>
              <c:strCache>
                <c:ptCount val="4"/>
                <c:pt idx="0">
                  <c:v>Emergency Fund</c:v>
                </c:pt>
                <c:pt idx="1">
                  <c:v>MBA Fund</c:v>
                </c:pt>
                <c:pt idx="2">
                  <c:v>Vacation</c:v>
                </c:pt>
                <c:pt idx="3">
                  <c:v>House Down Payment</c:v>
                </c:pt>
              </c:strCache>
            </c:strRef>
          </c:cat>
          <c:val>
            <c:numRef>
              <c:f>'Planning &amp; Forecasting'!$F$5:$F$8</c:f>
              <c:numCache>
                <c:formatCode>0.00%</c:formatCode>
                <c:ptCount val="4"/>
                <c:pt idx="0">
                  <c:v>0.8</c:v>
                </c:pt>
                <c:pt idx="1">
                  <c:v>2.8799999999999999E-2</c:v>
                </c:pt>
                <c:pt idx="2">
                  <c:v>0</c:v>
                </c:pt>
                <c:pt idx="3">
                  <c:v>0</c:v>
                </c:pt>
              </c:numCache>
            </c:numRef>
          </c:val>
          <c:extLst>
            <c:ext xmlns:c16="http://schemas.microsoft.com/office/drawing/2014/chart" uri="{C3380CC4-5D6E-409C-BE32-E72D297353CC}">
              <c16:uniqueId val="{00000000-73D0-49E0-9CCA-0A4E768C9D40}"/>
            </c:ext>
          </c:extLst>
        </c:ser>
        <c:ser>
          <c:idx val="1"/>
          <c:order val="1"/>
          <c:tx>
            <c:strRef>
              <c:f>'Planning &amp; Forecasting'!$G$4</c:f>
              <c:strCache>
                <c:ptCount val="1"/>
                <c:pt idx="0">
                  <c:v>Remaining %</c:v>
                </c:pt>
              </c:strCache>
            </c:strRef>
          </c:tx>
          <c:spPr>
            <a:solidFill>
              <a:schemeClr val="accent2"/>
            </a:solidFill>
            <a:ln>
              <a:noFill/>
            </a:ln>
            <a:effectLst/>
          </c:spPr>
          <c:invertIfNegative val="0"/>
          <c:cat>
            <c:strRef>
              <c:f>'Planning &amp; Forecasting'!$A$5:$A$8</c:f>
              <c:strCache>
                <c:ptCount val="4"/>
                <c:pt idx="0">
                  <c:v>Emergency Fund</c:v>
                </c:pt>
                <c:pt idx="1">
                  <c:v>MBA Fund</c:v>
                </c:pt>
                <c:pt idx="2">
                  <c:v>Vacation</c:v>
                </c:pt>
                <c:pt idx="3">
                  <c:v>House Down Payment</c:v>
                </c:pt>
              </c:strCache>
            </c:strRef>
          </c:cat>
          <c:val>
            <c:numRef>
              <c:f>'Planning &amp; Forecasting'!$G$5:$G$8</c:f>
              <c:numCache>
                <c:formatCode>0.00%</c:formatCode>
                <c:ptCount val="4"/>
                <c:pt idx="0">
                  <c:v>0.2</c:v>
                </c:pt>
                <c:pt idx="1">
                  <c:v>0.97119999999999995</c:v>
                </c:pt>
                <c:pt idx="2">
                  <c:v>1</c:v>
                </c:pt>
                <c:pt idx="3">
                  <c:v>1</c:v>
                </c:pt>
              </c:numCache>
            </c:numRef>
          </c:val>
          <c:extLst>
            <c:ext xmlns:c16="http://schemas.microsoft.com/office/drawing/2014/chart" uri="{C3380CC4-5D6E-409C-BE32-E72D297353CC}">
              <c16:uniqueId val="{00000001-73D0-49E0-9CCA-0A4E768C9D40}"/>
            </c:ext>
          </c:extLst>
        </c:ser>
        <c:dLbls>
          <c:showLegendKey val="0"/>
          <c:showVal val="0"/>
          <c:showCatName val="0"/>
          <c:showSerName val="0"/>
          <c:showPercent val="0"/>
          <c:showBubbleSize val="0"/>
        </c:dLbls>
        <c:gapWidth val="95"/>
        <c:overlap val="100"/>
        <c:axId val="88610400"/>
        <c:axId val="88611840"/>
      </c:barChart>
      <c:catAx>
        <c:axId val="88610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8611840"/>
        <c:crosses val="autoZero"/>
        <c:auto val="1"/>
        <c:lblAlgn val="ctr"/>
        <c:lblOffset val="100"/>
        <c:noMultiLvlLbl val="0"/>
      </c:catAx>
      <c:valAx>
        <c:axId val="88611840"/>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86104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dk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71120</xdr:colOff>
      <xdr:row>4</xdr:row>
      <xdr:rowOff>60960</xdr:rowOff>
    </xdr:from>
    <xdr:to>
      <xdr:col>7</xdr:col>
      <xdr:colOff>342348</xdr:colOff>
      <xdr:row>18</xdr:row>
      <xdr:rowOff>22087</xdr:rowOff>
    </xdr:to>
    <xdr:graphicFrame macro="">
      <xdr:nvGraphicFramePr>
        <xdr:cNvPr id="2" name="Chart 1">
          <a:extLst>
            <a:ext uri="{FF2B5EF4-FFF2-40B4-BE49-F238E27FC236}">
              <a16:creationId xmlns:a16="http://schemas.microsoft.com/office/drawing/2014/main" id="{346DC062-2366-489E-BBFF-4ED3E4717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828259</xdr:colOff>
      <xdr:row>4</xdr:row>
      <xdr:rowOff>66260</xdr:rowOff>
    </xdr:from>
    <xdr:to>
      <xdr:col>12</xdr:col>
      <xdr:colOff>706782</xdr:colOff>
      <xdr:row>17</xdr:row>
      <xdr:rowOff>66261</xdr:rowOff>
    </xdr:to>
    <xdr:graphicFrame macro="">
      <xdr:nvGraphicFramePr>
        <xdr:cNvPr id="4" name="Chart 3">
          <a:extLst>
            <a:ext uri="{FF2B5EF4-FFF2-40B4-BE49-F238E27FC236}">
              <a16:creationId xmlns:a16="http://schemas.microsoft.com/office/drawing/2014/main" id="{DB12C4B9-A823-47AE-8659-57A1028D70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66260</xdr:colOff>
      <xdr:row>19</xdr:row>
      <xdr:rowOff>55218</xdr:rowOff>
    </xdr:from>
    <xdr:to>
      <xdr:col>12</xdr:col>
      <xdr:colOff>706782</xdr:colOff>
      <xdr:row>31</xdr:row>
      <xdr:rowOff>15461</xdr:rowOff>
    </xdr:to>
    <xdr:graphicFrame macro="">
      <xdr:nvGraphicFramePr>
        <xdr:cNvPr id="5" name="Chart 4">
          <a:extLst>
            <a:ext uri="{FF2B5EF4-FFF2-40B4-BE49-F238E27FC236}">
              <a16:creationId xmlns:a16="http://schemas.microsoft.com/office/drawing/2014/main" id="{C2ED6D4C-2808-489E-B63E-99D282755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121478</xdr:colOff>
      <xdr:row>19</xdr:row>
      <xdr:rowOff>99391</xdr:rowOff>
    </xdr:from>
    <xdr:to>
      <xdr:col>5</xdr:col>
      <xdr:colOff>1104348</xdr:colOff>
      <xdr:row>31</xdr:row>
      <xdr:rowOff>59635</xdr:rowOff>
    </xdr:to>
    <xdr:graphicFrame macro="">
      <xdr:nvGraphicFramePr>
        <xdr:cNvPr id="8" name="Chart 7">
          <a:extLst>
            <a:ext uri="{FF2B5EF4-FFF2-40B4-BE49-F238E27FC236}">
              <a16:creationId xmlns:a16="http://schemas.microsoft.com/office/drawing/2014/main" id="{3E1D3F97-83E9-4CC9-987F-669B951E2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2E3795-878E-4403-8936-6C37B61F9EF6}" name="Table2" displayName="Table2" ref="A4:E17" totalsRowCount="1" headerRowDxfId="42" dataDxfId="40" totalsRowDxfId="41" headerRowBorderDxfId="74" tableBorderDxfId="75" totalsRowBorderDxfId="73">
  <autoFilter ref="A4:E16" xr:uid="{F72E3795-878E-4403-8936-6C37B61F9EF6}"/>
  <tableColumns count="5">
    <tableColumn id="1" xr3:uid="{67ECD730-E40C-4F2E-B14D-21DEFAC13334}" name="Month" totalsRowLabel="Total" dataDxfId="52" totalsRowDxfId="51"/>
    <tableColumn id="2" xr3:uid="{63AEB988-8B25-41F6-A466-F0A619998C55}" name="Salary" totalsRowFunction="sum" dataDxfId="50" totalsRowDxfId="49" dataCellStyle="Comma"/>
    <tableColumn id="3" xr3:uid="{42878379-37D4-49FF-A929-B1A3A00032A6}" name="Bonus" totalsRowFunction="sum" dataDxfId="48" totalsRowDxfId="47" dataCellStyle="Comma"/>
    <tableColumn id="4" xr3:uid="{A8BF88E7-6FAA-48A7-84FB-2BB8EC40E323}" name="Other Income" totalsRowFunction="sum" dataDxfId="46" totalsRowDxfId="45" dataCellStyle="Comma"/>
    <tableColumn id="5" xr3:uid="{2C234385-1AF5-43A2-BAF2-A3A9EF2DE8D0}" name="Total Income" totalsRowFunction="sum" dataDxfId="44" totalsRowDxfId="43" dataCellStyle="Comma">
      <calculatedColumnFormula>SUM(B5:D5)</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196B9A8-9560-4CDB-92BF-5D630C0B933E}" name="Table3" displayName="Table3" ref="A20:J33" totalsRowCount="1" headerRowDxfId="19" dataDxfId="17" totalsRowDxfId="18" headerRowBorderDxfId="71" tableBorderDxfId="72" totalsRowBorderDxfId="70">
  <autoFilter ref="A20:J32" xr:uid="{C196B9A8-9560-4CDB-92BF-5D630C0B933E}"/>
  <tableColumns count="10">
    <tableColumn id="1" xr3:uid="{F3431E26-96D2-4EDB-99F0-A77DCA165017}" name="Month" totalsRowLabel="Total" dataDxfId="39" totalsRowDxfId="38"/>
    <tableColumn id="2" xr3:uid="{B829654A-DC99-4E6E-A251-4E6A485DD8C3}" name="Rent" totalsRowFunction="sum" dataDxfId="37" totalsRowDxfId="36" dataCellStyle="Comma"/>
    <tableColumn id="3" xr3:uid="{DBDC69DB-B1AA-493F-B31E-4A5832BCD0D1}" name="Food" totalsRowFunction="sum" dataDxfId="35" totalsRowDxfId="34" dataCellStyle="Comma"/>
    <tableColumn id="4" xr3:uid="{4B233A1B-5014-4690-8D3A-4B4A3D1634AC}" name="Utilities" totalsRowFunction="sum" dataDxfId="33" totalsRowDxfId="32" dataCellStyle="Comma"/>
    <tableColumn id="5" xr3:uid="{25D5FA81-ED01-4823-B251-211FF61D407E}" name="Transport" totalsRowFunction="sum" dataDxfId="31" totalsRowDxfId="30" dataCellStyle="Comma"/>
    <tableColumn id="6" xr3:uid="{7D92A49A-E53A-4272-B778-226A300EDF5D}" name="Shopping" totalsRowFunction="sum" dataDxfId="29" totalsRowDxfId="28" dataCellStyle="Comma"/>
    <tableColumn id="7" xr3:uid="{9292CDE6-463D-48D0-A8A8-EEBE58E9364B}" name="Entertainment" totalsRowFunction="sum" dataDxfId="27" totalsRowDxfId="26" dataCellStyle="Comma"/>
    <tableColumn id="8" xr3:uid="{59AA50CC-EBC6-488F-9052-EEBC65363984}" name="Parents Support" totalsRowFunction="sum" dataDxfId="25" totalsRowDxfId="24" dataCellStyle="Comma"/>
    <tableColumn id="9" xr3:uid="{433B36B3-AC16-44DF-9C19-BFFF989D8535}" name="Misc." totalsRowFunction="sum" dataDxfId="23" totalsRowDxfId="22" dataCellStyle="Comma"/>
    <tableColumn id="10" xr3:uid="{8D499727-68CF-4849-A2A8-403228454537}" name="Total Expenses" totalsRowFunction="sum" dataDxfId="21" totalsRowDxfId="20" dataCellStyle="Comma">
      <calculatedColumnFormula>SUM(B21:I21)</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D8AD195-425F-446E-A0C2-7FD2224940FA}" name="Table4" displayName="Table4" ref="A36:F41" headerRowDxfId="10" dataDxfId="8" totalsRowDxfId="9" headerRowBorderDxfId="68" tableBorderDxfId="69" totalsRowBorderDxfId="67">
  <autoFilter ref="A36:F41" xr:uid="{FD8AD195-425F-446E-A0C2-7FD2224940FA}"/>
  <tableColumns count="6">
    <tableColumn id="1" xr3:uid="{2B991F3D-9A7D-4C0A-B051-D354C778F79F}" name="Goal" totalsRowLabel="Total" dataDxfId="16" totalsRowDxfId="58"/>
    <tableColumn id="2" xr3:uid="{CC76FF4F-EB14-4E08-8A01-279DC4659F05}" name="Target Amount" totalsRowFunction="sum" dataDxfId="15" totalsRowDxfId="63" dataCellStyle="Comma"/>
    <tableColumn id="3" xr3:uid="{1B22C65C-42AA-40FB-A856-6D09AD1DBA15}" name="Timeline (Months)" dataDxfId="14" totalsRowDxfId="59"/>
    <tableColumn id="4" xr3:uid="{A6212997-05EE-48D3-BBB5-2FCC00E406F0}" name="Priority" dataDxfId="13" totalsRowDxfId="60"/>
    <tableColumn id="5" xr3:uid="{16CCBF56-6205-46D0-A9E9-E808F6D52DAD}" name="Monthly Saving Required" totalsRowFunction="sum" dataDxfId="12" totalsRowDxfId="62" dataCellStyle="Comma">
      <calculatedColumnFormula>B37/C37</calculatedColumnFormula>
    </tableColumn>
    <tableColumn id="6" xr3:uid="{E678E3AD-5BE2-495F-944E-666EE3B6AE16}" name="Current Saved" dataDxfId="11" totalsRowDxfId="61"/>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0FB9495-CFFA-4DFD-933B-6CFE1DD34405}" name="Table5" displayName="Table5" ref="A44:E48" headerRowDxfId="2" dataDxfId="0" totalsRowDxfId="1" headerRowBorderDxfId="65" tableBorderDxfId="66" totalsRowBorderDxfId="64">
  <autoFilter ref="A44:E48" xr:uid="{40FB9495-CFFA-4DFD-933B-6CFE1DD34405}"/>
  <tableColumns count="5">
    <tableColumn id="1" xr3:uid="{F0A18621-6435-46C7-B90D-7F7F99A4C4D0}" name="Month" totalsRowLabel="Total" dataDxfId="7" totalsRowDxfId="53"/>
    <tableColumn id="2" xr3:uid="{B17DF03F-C721-40C4-880B-D8068D75826F}" name="Event" dataDxfId="6" totalsRowDxfId="54"/>
    <tableColumn id="3" xr3:uid="{0ACADF72-67BD-4A09-B927-C05942B54963}" name="Type" dataDxfId="5" totalsRowDxfId="55"/>
    <tableColumn id="4" xr3:uid="{3DB66192-28CF-427C-AE42-DC05F26B3718}" name="Amount" dataDxfId="4" totalsRowDxfId="56"/>
    <tableColumn id="5" xr3:uid="{71EDCD9E-9364-4F18-A620-7A06BDDE902E}" name="Impact" totalsRowFunction="count" dataDxfId="3" totalsRowDxfId="57"/>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B1417-8363-487E-BF5B-E7A12019B462}">
  <dimension ref="A1:U46"/>
  <sheetViews>
    <sheetView tabSelected="1" zoomScale="38" zoomScaleNormal="67" workbookViewId="0">
      <selection activeCell="O17" sqref="O17:P17"/>
    </sheetView>
  </sheetViews>
  <sheetFormatPr defaultRowHeight="18" x14ac:dyDescent="0.35"/>
  <cols>
    <col min="1" max="1" width="17.75" customWidth="1"/>
    <col min="2" max="2" width="2.08203125" customWidth="1"/>
    <col min="3" max="8" width="14.58203125" customWidth="1"/>
    <col min="9" max="9" width="15.1640625" customWidth="1"/>
    <col min="10" max="11" width="14.58203125" customWidth="1"/>
    <col min="12" max="12" width="2.1640625" customWidth="1"/>
    <col min="13" max="15" width="14.58203125" customWidth="1"/>
    <col min="16" max="16" width="12.5" customWidth="1"/>
    <col min="17" max="17" width="2.08203125" customWidth="1"/>
    <col min="18" max="18" width="14.58203125" customWidth="1"/>
    <col min="19" max="19" width="18.4140625" customWidth="1"/>
    <col min="20" max="21" width="14.58203125" customWidth="1"/>
  </cols>
  <sheetData>
    <row r="1" spans="1:21" ht="18.600000000000001" thickBot="1" x14ac:dyDescent="0.4">
      <c r="G1" s="216" t="s">
        <v>0</v>
      </c>
      <c r="H1" s="217"/>
      <c r="I1" s="217"/>
      <c r="J1" s="217"/>
      <c r="K1" s="217"/>
      <c r="L1" s="217"/>
      <c r="M1" s="217"/>
      <c r="N1" s="217"/>
      <c r="O1" s="217"/>
      <c r="P1" s="218"/>
    </row>
    <row r="2" spans="1:21" ht="18.600000000000001" customHeight="1" thickBot="1" x14ac:dyDescent="0.4">
      <c r="G2" s="219"/>
      <c r="H2" s="220"/>
      <c r="I2" s="220"/>
      <c r="J2" s="220"/>
      <c r="K2" s="220"/>
      <c r="L2" s="220"/>
      <c r="M2" s="220"/>
      <c r="N2" s="220"/>
      <c r="O2" s="220"/>
      <c r="P2" s="221"/>
      <c r="R2" s="214" t="s">
        <v>76</v>
      </c>
      <c r="S2" s="127" t="s">
        <v>77</v>
      </c>
      <c r="T2" s="128"/>
      <c r="U2" s="131"/>
    </row>
    <row r="3" spans="1:21" ht="18.600000000000001" customHeight="1" thickBot="1" x14ac:dyDescent="0.4">
      <c r="G3" s="222" t="s">
        <v>1</v>
      </c>
      <c r="H3" s="223"/>
      <c r="I3" s="223"/>
      <c r="J3" s="223"/>
      <c r="K3" s="223"/>
      <c r="L3" s="223"/>
      <c r="M3" s="223"/>
      <c r="N3" s="223"/>
      <c r="O3" s="223"/>
      <c r="P3" s="224"/>
      <c r="R3" s="215"/>
      <c r="S3" s="129"/>
      <c r="T3" s="130"/>
      <c r="U3" s="132"/>
    </row>
    <row r="4" spans="1:21" ht="18.600000000000001" thickBot="1" x14ac:dyDescent="0.4">
      <c r="G4" s="225"/>
      <c r="H4" s="226"/>
      <c r="I4" s="226"/>
      <c r="J4" s="226"/>
      <c r="K4" s="226"/>
      <c r="L4" s="226"/>
      <c r="M4" s="226"/>
      <c r="N4" s="226"/>
      <c r="O4" s="226"/>
      <c r="P4" s="227"/>
    </row>
    <row r="5" spans="1:21" ht="10.199999999999999" customHeight="1" thickBot="1" x14ac:dyDescent="0.45">
      <c r="A5" s="5"/>
      <c r="B5" s="5"/>
      <c r="C5" s="5"/>
      <c r="D5" s="5"/>
      <c r="E5" s="5"/>
      <c r="F5" s="5"/>
      <c r="G5" s="4"/>
      <c r="H5" s="4"/>
      <c r="I5" s="4"/>
      <c r="J5" s="4"/>
      <c r="K5" s="4"/>
      <c r="L5" s="4"/>
      <c r="M5" s="4"/>
      <c r="N5" s="4"/>
      <c r="O5" s="4"/>
      <c r="P5" s="4"/>
    </row>
    <row r="6" spans="1:21" ht="45" customHeight="1" thickBot="1" x14ac:dyDescent="0.45">
      <c r="A6" s="29" t="s">
        <v>2</v>
      </c>
      <c r="B6" s="5"/>
      <c r="C6" s="10" t="s">
        <v>3</v>
      </c>
      <c r="D6" s="11"/>
      <c r="E6" s="11"/>
      <c r="F6" s="11"/>
      <c r="G6" s="11"/>
      <c r="H6" s="11"/>
      <c r="I6" s="11"/>
      <c r="J6" s="11"/>
      <c r="K6" s="12"/>
      <c r="M6" s="34" t="s">
        <v>20</v>
      </c>
      <c r="N6" s="35"/>
      <c r="O6" s="35"/>
      <c r="P6" s="36"/>
      <c r="Q6" s="5"/>
      <c r="R6" s="34" t="s">
        <v>63</v>
      </c>
      <c r="S6" s="35"/>
      <c r="T6" s="35"/>
      <c r="U6" s="36"/>
    </row>
    <row r="7" spans="1:21" ht="26.4" thickBot="1" x14ac:dyDescent="0.45">
      <c r="A7" s="30"/>
      <c r="B7" s="5"/>
      <c r="C7" s="13"/>
      <c r="D7" s="14"/>
      <c r="E7" s="14"/>
      <c r="F7" s="14"/>
      <c r="G7" s="14"/>
      <c r="H7" s="14"/>
      <c r="I7" s="14"/>
      <c r="J7" s="14"/>
      <c r="K7" s="15"/>
      <c r="M7" s="47" t="s">
        <v>21</v>
      </c>
      <c r="N7" s="48"/>
      <c r="O7" s="48" t="s">
        <v>22</v>
      </c>
      <c r="P7" s="49"/>
      <c r="Q7" s="5"/>
      <c r="R7" s="47" t="s">
        <v>64</v>
      </c>
      <c r="S7" s="48"/>
      <c r="T7" s="48" t="s">
        <v>16</v>
      </c>
      <c r="U7" s="49"/>
    </row>
    <row r="8" spans="1:21" ht="45" customHeight="1" x14ac:dyDescent="0.4">
      <c r="A8" s="30"/>
      <c r="B8" s="5"/>
      <c r="C8" s="13"/>
      <c r="D8" s="14"/>
      <c r="E8" s="14"/>
      <c r="F8" s="14"/>
      <c r="G8" s="14"/>
      <c r="H8" s="14"/>
      <c r="I8" s="14"/>
      <c r="J8" s="14"/>
      <c r="K8" s="15"/>
      <c r="M8" s="39" t="s">
        <v>23</v>
      </c>
      <c r="N8" s="40"/>
      <c r="O8" s="40" t="s">
        <v>75</v>
      </c>
      <c r="P8" s="43"/>
      <c r="Q8" s="5"/>
      <c r="R8" s="39" t="s">
        <v>65</v>
      </c>
      <c r="S8" s="40"/>
      <c r="T8" s="40" t="s">
        <v>66</v>
      </c>
      <c r="U8" s="43"/>
    </row>
    <row r="9" spans="1:21" ht="45" customHeight="1" thickBot="1" x14ac:dyDescent="0.45">
      <c r="A9" s="31"/>
      <c r="B9" s="5"/>
      <c r="C9" s="16"/>
      <c r="D9" s="17"/>
      <c r="E9" s="17"/>
      <c r="F9" s="17"/>
      <c r="G9" s="17"/>
      <c r="H9" s="17"/>
      <c r="I9" s="17"/>
      <c r="J9" s="17"/>
      <c r="K9" s="18"/>
      <c r="M9" s="27" t="s">
        <v>24</v>
      </c>
      <c r="N9" s="19"/>
      <c r="O9" s="19" t="s">
        <v>25</v>
      </c>
      <c r="P9" s="20"/>
      <c r="Q9" s="5"/>
      <c r="R9" s="27" t="s">
        <v>67</v>
      </c>
      <c r="S9" s="19"/>
      <c r="T9" s="19" t="s">
        <v>68</v>
      </c>
      <c r="U9" s="20"/>
    </row>
    <row r="10" spans="1:21" s="1" customFormat="1" ht="45" customHeight="1" thickBot="1" x14ac:dyDescent="0.45">
      <c r="A10" s="5"/>
      <c r="B10" s="5"/>
      <c r="C10" s="5"/>
      <c r="D10" s="5"/>
      <c r="E10" s="5"/>
      <c r="F10" s="5"/>
      <c r="G10" s="5"/>
      <c r="H10" s="5"/>
      <c r="I10" s="5"/>
      <c r="J10" s="5"/>
      <c r="K10" s="5"/>
      <c r="M10" s="27" t="s">
        <v>26</v>
      </c>
      <c r="N10" s="19"/>
      <c r="O10" s="19" t="s">
        <v>27</v>
      </c>
      <c r="P10" s="20"/>
      <c r="Q10" s="32"/>
      <c r="R10" s="27" t="s">
        <v>69</v>
      </c>
      <c r="S10" s="19"/>
      <c r="T10" s="19" t="s">
        <v>70</v>
      </c>
      <c r="U10" s="20"/>
    </row>
    <row r="11" spans="1:21" ht="45" customHeight="1" x14ac:dyDescent="0.4">
      <c r="A11" s="29" t="s">
        <v>4</v>
      </c>
      <c r="B11" s="5"/>
      <c r="C11" s="10" t="s">
        <v>5</v>
      </c>
      <c r="D11" s="11"/>
      <c r="E11" s="11"/>
      <c r="F11" s="11"/>
      <c r="G11" s="11"/>
      <c r="H11" s="11"/>
      <c r="I11" s="11"/>
      <c r="J11" s="11"/>
      <c r="K11" s="12"/>
      <c r="M11" s="27" t="s">
        <v>28</v>
      </c>
      <c r="N11" s="19"/>
      <c r="O11" s="19" t="s">
        <v>29</v>
      </c>
      <c r="P11" s="20"/>
      <c r="Q11" s="5"/>
      <c r="R11" s="27" t="s">
        <v>71</v>
      </c>
      <c r="S11" s="19"/>
      <c r="T11" s="19" t="s">
        <v>72</v>
      </c>
      <c r="U11" s="20"/>
    </row>
    <row r="12" spans="1:21" ht="45" customHeight="1" thickBot="1" x14ac:dyDescent="0.45">
      <c r="A12" s="31"/>
      <c r="B12" s="5"/>
      <c r="C12" s="16"/>
      <c r="D12" s="17"/>
      <c r="E12" s="17"/>
      <c r="F12" s="17"/>
      <c r="G12" s="17"/>
      <c r="H12" s="17"/>
      <c r="I12" s="17"/>
      <c r="J12" s="17"/>
      <c r="K12" s="18"/>
      <c r="M12" s="27" t="s">
        <v>30</v>
      </c>
      <c r="N12" s="19"/>
      <c r="O12" s="151">
        <v>52000</v>
      </c>
      <c r="P12" s="152"/>
      <c r="Q12" s="5"/>
      <c r="R12" s="28" t="s">
        <v>73</v>
      </c>
      <c r="S12" s="21"/>
      <c r="T12" s="21" t="s">
        <v>74</v>
      </c>
      <c r="U12" s="22"/>
    </row>
    <row r="13" spans="1:21" ht="45" customHeight="1" thickBot="1" x14ac:dyDescent="0.45">
      <c r="A13" s="5"/>
      <c r="B13" s="5"/>
      <c r="C13" s="5"/>
      <c r="D13" s="5"/>
      <c r="E13" s="5"/>
      <c r="F13" s="5"/>
      <c r="G13" s="5"/>
      <c r="H13" s="5"/>
      <c r="I13" s="5"/>
      <c r="J13" s="5"/>
      <c r="K13" s="5"/>
      <c r="M13" s="27" t="s">
        <v>31</v>
      </c>
      <c r="N13" s="19"/>
      <c r="O13" s="19" t="s">
        <v>32</v>
      </c>
      <c r="P13" s="20"/>
      <c r="Q13" s="5"/>
      <c r="R13" s="5"/>
      <c r="S13" s="5"/>
      <c r="T13" s="5"/>
      <c r="U13" s="5"/>
    </row>
    <row r="14" spans="1:21" ht="45" customHeight="1" thickBot="1" x14ac:dyDescent="0.45">
      <c r="A14" s="29" t="s">
        <v>6</v>
      </c>
      <c r="B14" s="5"/>
      <c r="C14" s="10" t="s">
        <v>78</v>
      </c>
      <c r="D14" s="11"/>
      <c r="E14" s="11"/>
      <c r="F14" s="11"/>
      <c r="G14" s="11"/>
      <c r="H14" s="11"/>
      <c r="I14" s="11"/>
      <c r="J14" s="11"/>
      <c r="K14" s="12"/>
      <c r="M14" s="28" t="s">
        <v>33</v>
      </c>
      <c r="N14" s="21"/>
      <c r="O14" s="21" t="s">
        <v>34</v>
      </c>
      <c r="P14" s="22"/>
      <c r="Q14" s="5"/>
      <c r="R14" s="5"/>
      <c r="S14" s="5"/>
      <c r="T14" s="5"/>
      <c r="U14" s="5"/>
    </row>
    <row r="15" spans="1:21" ht="21.6" customHeight="1" thickBot="1" x14ac:dyDescent="0.45">
      <c r="A15" s="30"/>
      <c r="B15" s="5"/>
      <c r="C15" s="13"/>
      <c r="D15" s="14"/>
      <c r="E15" s="14"/>
      <c r="F15" s="14"/>
      <c r="G15" s="14"/>
      <c r="H15" s="14"/>
      <c r="I15" s="14"/>
      <c r="J15" s="14"/>
      <c r="K15" s="15"/>
      <c r="M15" s="5"/>
      <c r="N15" s="5"/>
      <c r="O15" s="5"/>
      <c r="P15" s="5"/>
      <c r="Q15" s="5"/>
      <c r="R15" s="5"/>
      <c r="S15" s="5"/>
      <c r="T15" s="5"/>
      <c r="U15" s="5"/>
    </row>
    <row r="16" spans="1:21" ht="45" customHeight="1" thickBot="1" x14ac:dyDescent="0.45">
      <c r="A16" s="30"/>
      <c r="B16" s="5"/>
      <c r="C16" s="13"/>
      <c r="D16" s="14"/>
      <c r="E16" s="14"/>
      <c r="F16" s="14"/>
      <c r="G16" s="14"/>
      <c r="H16" s="14"/>
      <c r="I16" s="14"/>
      <c r="J16" s="14"/>
      <c r="K16" s="15"/>
      <c r="M16" s="34" t="s">
        <v>52</v>
      </c>
      <c r="N16" s="35"/>
      <c r="O16" s="35"/>
      <c r="P16" s="36"/>
      <c r="Q16" s="5"/>
      <c r="R16" s="34" t="s">
        <v>35</v>
      </c>
      <c r="S16" s="35"/>
      <c r="T16" s="35"/>
      <c r="U16" s="36"/>
    </row>
    <row r="17" spans="1:21" ht="52.2" thickBot="1" x14ac:dyDescent="0.45">
      <c r="A17" s="31"/>
      <c r="B17" s="5"/>
      <c r="C17" s="16"/>
      <c r="D17" s="17"/>
      <c r="E17" s="17"/>
      <c r="F17" s="17"/>
      <c r="G17" s="17"/>
      <c r="H17" s="17"/>
      <c r="I17" s="17"/>
      <c r="J17" s="17"/>
      <c r="K17" s="18"/>
      <c r="M17" s="47" t="s">
        <v>53</v>
      </c>
      <c r="N17" s="48"/>
      <c r="O17" s="48" t="s">
        <v>54</v>
      </c>
      <c r="P17" s="49"/>
      <c r="Q17" s="5"/>
      <c r="R17" s="50" t="s">
        <v>36</v>
      </c>
      <c r="S17" s="51" t="s">
        <v>37</v>
      </c>
      <c r="T17" s="51" t="s">
        <v>38</v>
      </c>
      <c r="U17" s="52" t="s">
        <v>39</v>
      </c>
    </row>
    <row r="18" spans="1:21" ht="51" thickBot="1" x14ac:dyDescent="0.45">
      <c r="A18" s="5"/>
      <c r="B18" s="5"/>
      <c r="C18" s="5"/>
      <c r="D18" s="5"/>
      <c r="E18" s="5"/>
      <c r="F18" s="5"/>
      <c r="G18" s="5"/>
      <c r="H18" s="5"/>
      <c r="I18" s="5"/>
      <c r="J18" s="5"/>
      <c r="K18" s="5"/>
      <c r="M18" s="39" t="s">
        <v>30</v>
      </c>
      <c r="N18" s="40"/>
      <c r="O18" s="149">
        <v>52000</v>
      </c>
      <c r="P18" s="150"/>
      <c r="Q18" s="5"/>
      <c r="R18" s="41" t="s">
        <v>40</v>
      </c>
      <c r="S18" s="146">
        <v>150000</v>
      </c>
      <c r="T18" s="42" t="s">
        <v>41</v>
      </c>
      <c r="U18" s="55" t="s">
        <v>42</v>
      </c>
    </row>
    <row r="19" spans="1:21" ht="76.2" thickBot="1" x14ac:dyDescent="0.45">
      <c r="A19" s="29" t="s">
        <v>7</v>
      </c>
      <c r="B19" s="5"/>
      <c r="C19" s="45" t="s">
        <v>81</v>
      </c>
      <c r="D19" s="44" t="s">
        <v>8</v>
      </c>
      <c r="E19" s="37" t="s">
        <v>10</v>
      </c>
      <c r="F19" s="37" t="s">
        <v>12</v>
      </c>
      <c r="G19" s="37" t="s">
        <v>14</v>
      </c>
      <c r="H19" s="37" t="s">
        <v>16</v>
      </c>
      <c r="I19" s="38" t="s">
        <v>18</v>
      </c>
      <c r="J19" s="8"/>
      <c r="K19" s="8"/>
      <c r="M19" s="27" t="s">
        <v>55</v>
      </c>
      <c r="N19" s="19"/>
      <c r="O19" s="153">
        <v>0.08</v>
      </c>
      <c r="P19" s="154"/>
      <c r="Q19" s="5"/>
      <c r="R19" s="23" t="s">
        <v>43</v>
      </c>
      <c r="S19" s="147" t="s">
        <v>44</v>
      </c>
      <c r="T19" s="24" t="s">
        <v>45</v>
      </c>
      <c r="U19" s="56" t="s">
        <v>42</v>
      </c>
    </row>
    <row r="20" spans="1:21" ht="45" customHeight="1" thickBot="1" x14ac:dyDescent="0.45">
      <c r="A20" s="30"/>
      <c r="B20" s="5"/>
      <c r="C20" s="6"/>
      <c r="D20" s="33"/>
      <c r="E20" s="33"/>
      <c r="F20" s="33"/>
      <c r="G20" s="33"/>
      <c r="H20" s="33"/>
      <c r="I20" s="33"/>
      <c r="J20" s="8"/>
      <c r="K20" s="8"/>
      <c r="M20" s="27" t="s">
        <v>56</v>
      </c>
      <c r="N20" s="19"/>
      <c r="O20" s="153">
        <v>0.06</v>
      </c>
      <c r="P20" s="154"/>
      <c r="Q20" s="5"/>
      <c r="R20" s="23" t="s">
        <v>46</v>
      </c>
      <c r="S20" s="147">
        <v>500000</v>
      </c>
      <c r="T20" s="24" t="s">
        <v>47</v>
      </c>
      <c r="U20" s="56" t="s">
        <v>42</v>
      </c>
    </row>
    <row r="21" spans="1:21" ht="70.8" thickBot="1" x14ac:dyDescent="0.45">
      <c r="A21" s="31"/>
      <c r="B21" s="5"/>
      <c r="C21" s="46" t="s">
        <v>82</v>
      </c>
      <c r="D21" s="44" t="s">
        <v>9</v>
      </c>
      <c r="E21" s="37" t="s">
        <v>11</v>
      </c>
      <c r="F21" s="37" t="s">
        <v>13</v>
      </c>
      <c r="G21" s="37" t="s">
        <v>15</v>
      </c>
      <c r="H21" s="37" t="s">
        <v>17</v>
      </c>
      <c r="I21" s="38" t="s">
        <v>19</v>
      </c>
      <c r="J21" s="7"/>
      <c r="K21" s="7"/>
      <c r="M21" s="27" t="s">
        <v>57</v>
      </c>
      <c r="N21" s="19"/>
      <c r="O21" s="151">
        <v>30000</v>
      </c>
      <c r="P21" s="152"/>
      <c r="Q21" s="5"/>
      <c r="R21" s="23" t="s">
        <v>159</v>
      </c>
      <c r="S21" s="147">
        <v>30000</v>
      </c>
      <c r="T21" s="24" t="s">
        <v>48</v>
      </c>
      <c r="U21" s="53" t="s">
        <v>49</v>
      </c>
    </row>
    <row r="22" spans="1:21" ht="76.2" thickBot="1" x14ac:dyDescent="0.45">
      <c r="A22" s="5"/>
      <c r="B22" s="5"/>
      <c r="J22" s="7"/>
      <c r="K22" s="7"/>
      <c r="M22" s="27" t="s">
        <v>58</v>
      </c>
      <c r="N22" s="19"/>
      <c r="O22" s="19" t="s">
        <v>59</v>
      </c>
      <c r="P22" s="20"/>
      <c r="Q22" s="5"/>
      <c r="R22" s="25" t="s">
        <v>50</v>
      </c>
      <c r="S22" s="148">
        <v>1000000</v>
      </c>
      <c r="T22" s="26" t="s">
        <v>51</v>
      </c>
      <c r="U22" s="54" t="s">
        <v>49</v>
      </c>
    </row>
    <row r="23" spans="1:21" ht="45" customHeight="1" x14ac:dyDescent="0.4">
      <c r="A23" s="29" t="s">
        <v>79</v>
      </c>
      <c r="B23" s="5"/>
      <c r="C23" s="57" t="s">
        <v>80</v>
      </c>
      <c r="D23" s="58"/>
      <c r="E23" s="58"/>
      <c r="F23" s="58"/>
      <c r="G23" s="58"/>
      <c r="H23" s="58"/>
      <c r="I23" s="59"/>
      <c r="J23" s="5"/>
      <c r="K23" s="8"/>
      <c r="M23" s="27" t="s">
        <v>60</v>
      </c>
      <c r="N23" s="19"/>
      <c r="O23" s="19" t="s">
        <v>61</v>
      </c>
      <c r="P23" s="20"/>
      <c r="Q23" s="5"/>
      <c r="R23" s="9"/>
      <c r="S23" s="9"/>
      <c r="T23" s="9"/>
      <c r="U23" s="9"/>
    </row>
    <row r="24" spans="1:21" ht="45" customHeight="1" thickBot="1" x14ac:dyDescent="0.45">
      <c r="A24" s="31"/>
      <c r="B24" s="5"/>
      <c r="C24" s="60"/>
      <c r="D24" s="61"/>
      <c r="E24" s="61"/>
      <c r="F24" s="61"/>
      <c r="G24" s="61"/>
      <c r="H24" s="61"/>
      <c r="I24" s="62"/>
      <c r="K24" s="8"/>
      <c r="M24" s="28" t="s">
        <v>62</v>
      </c>
      <c r="N24" s="21"/>
      <c r="O24" s="21" t="s">
        <v>32</v>
      </c>
      <c r="P24" s="22"/>
      <c r="Q24" s="5"/>
      <c r="R24" s="9"/>
      <c r="S24" s="9"/>
      <c r="T24" s="9"/>
      <c r="U24" s="9"/>
    </row>
    <row r="25" spans="1:21" ht="45" customHeight="1" x14ac:dyDescent="0.4">
      <c r="A25" s="5"/>
      <c r="B25" s="5"/>
      <c r="K25" s="5"/>
      <c r="Q25" s="5"/>
    </row>
    <row r="26" spans="1:21" ht="45" customHeight="1" x14ac:dyDescent="0.4">
      <c r="A26" s="5"/>
      <c r="K26" s="5"/>
      <c r="Q26" s="5"/>
    </row>
    <row r="27" spans="1:21" ht="45" customHeight="1" x14ac:dyDescent="0.4">
      <c r="A27" s="5"/>
      <c r="B27" s="5"/>
      <c r="Q27" s="5"/>
    </row>
    <row r="28" spans="1:21" ht="45" customHeight="1" x14ac:dyDescent="0.4">
      <c r="A28" s="5"/>
      <c r="B28" s="5"/>
    </row>
    <row r="29" spans="1:21" ht="45" customHeight="1" x14ac:dyDescent="0.4">
      <c r="A29" s="5"/>
      <c r="B29" s="5"/>
    </row>
    <row r="30" spans="1:21" ht="21" customHeight="1" x14ac:dyDescent="0.4">
      <c r="A30" s="5"/>
      <c r="B30" s="5"/>
    </row>
    <row r="31" spans="1:21" ht="21" x14ac:dyDescent="0.4">
      <c r="A31" s="5"/>
      <c r="B31" s="5"/>
    </row>
    <row r="32" spans="1:21" ht="21" x14ac:dyDescent="0.4">
      <c r="A32" s="5"/>
      <c r="B32" s="5"/>
    </row>
    <row r="33" spans="1:2" ht="21" x14ac:dyDescent="0.4">
      <c r="A33" s="5"/>
      <c r="B33" s="5"/>
    </row>
    <row r="34" spans="1:2" ht="21" x14ac:dyDescent="0.4">
      <c r="A34" s="5"/>
      <c r="B34" s="5"/>
    </row>
    <row r="35" spans="1:2" ht="21" x14ac:dyDescent="0.4">
      <c r="A35" s="5"/>
      <c r="B35" s="5"/>
    </row>
    <row r="36" spans="1:2" ht="21" x14ac:dyDescent="0.4">
      <c r="A36" s="5"/>
      <c r="B36" s="5"/>
    </row>
    <row r="37" spans="1:2" ht="21" x14ac:dyDescent="0.4">
      <c r="A37" s="5"/>
      <c r="B37" s="5"/>
    </row>
    <row r="38" spans="1:2" ht="21" x14ac:dyDescent="0.4">
      <c r="A38" s="5"/>
      <c r="B38" s="5"/>
    </row>
    <row r="39" spans="1:2" ht="21" x14ac:dyDescent="0.4">
      <c r="A39" s="5"/>
      <c r="B39" s="5"/>
    </row>
    <row r="40" spans="1:2" ht="21" x14ac:dyDescent="0.4">
      <c r="A40" s="5"/>
      <c r="B40" s="5"/>
    </row>
    <row r="41" spans="1:2" ht="21" x14ac:dyDescent="0.4">
      <c r="A41" s="5"/>
      <c r="B41" s="5"/>
    </row>
    <row r="42" spans="1:2" ht="21" x14ac:dyDescent="0.4">
      <c r="A42" s="5"/>
      <c r="B42" s="5"/>
    </row>
    <row r="43" spans="1:2" ht="21" x14ac:dyDescent="0.4">
      <c r="B43" s="5"/>
    </row>
    <row r="44" spans="1:2" ht="21" x14ac:dyDescent="0.4">
      <c r="B44" s="5"/>
    </row>
    <row r="45" spans="1:2" ht="21" x14ac:dyDescent="0.4">
      <c r="B45" s="5"/>
    </row>
    <row r="46" spans="1:2" ht="21" x14ac:dyDescent="0.4">
      <c r="B46" s="5"/>
    </row>
  </sheetData>
  <mergeCells count="65">
    <mergeCell ref="S2:U3"/>
    <mergeCell ref="R2:R3"/>
    <mergeCell ref="A23:A24"/>
    <mergeCell ref="A11:A12"/>
    <mergeCell ref="A6:A9"/>
    <mergeCell ref="M6:P6"/>
    <mergeCell ref="R6:U6"/>
    <mergeCell ref="C6:K9"/>
    <mergeCell ref="C11:K12"/>
    <mergeCell ref="A19:A21"/>
    <mergeCell ref="A14:A17"/>
    <mergeCell ref="C14:K17"/>
    <mergeCell ref="C23:I24"/>
    <mergeCell ref="O22:P22"/>
    <mergeCell ref="O23:P23"/>
    <mergeCell ref="O24:P24"/>
    <mergeCell ref="M21:N21"/>
    <mergeCell ref="M22:N22"/>
    <mergeCell ref="M23:N23"/>
    <mergeCell ref="M24:N24"/>
    <mergeCell ref="O17:P17"/>
    <mergeCell ref="O18:P18"/>
    <mergeCell ref="O19:P19"/>
    <mergeCell ref="O20:P20"/>
    <mergeCell ref="O21:P21"/>
    <mergeCell ref="O13:P13"/>
    <mergeCell ref="O14:P14"/>
    <mergeCell ref="M17:N17"/>
    <mergeCell ref="M18:N18"/>
    <mergeCell ref="M19:N19"/>
    <mergeCell ref="M20:N20"/>
    <mergeCell ref="M16:P16"/>
    <mergeCell ref="M11:N11"/>
    <mergeCell ref="M12:N12"/>
    <mergeCell ref="M13:N13"/>
    <mergeCell ref="M14:N14"/>
    <mergeCell ref="O7:P7"/>
    <mergeCell ref="O8:P8"/>
    <mergeCell ref="O9:P9"/>
    <mergeCell ref="O10:P10"/>
    <mergeCell ref="O11:P11"/>
    <mergeCell ref="O12:P12"/>
    <mergeCell ref="M7:N7"/>
    <mergeCell ref="G1:P2"/>
    <mergeCell ref="G3:P4"/>
    <mergeCell ref="R24:S24"/>
    <mergeCell ref="T7:U7"/>
    <mergeCell ref="T8:U8"/>
    <mergeCell ref="T9:U9"/>
    <mergeCell ref="T10:U10"/>
    <mergeCell ref="T11:U11"/>
    <mergeCell ref="T12:U12"/>
    <mergeCell ref="T23:U23"/>
    <mergeCell ref="T24:U24"/>
    <mergeCell ref="R16:U16"/>
    <mergeCell ref="R7:S7"/>
    <mergeCell ref="R8:S8"/>
    <mergeCell ref="R9:S9"/>
    <mergeCell ref="R10:S10"/>
    <mergeCell ref="R11:S11"/>
    <mergeCell ref="R12:S12"/>
    <mergeCell ref="R23:S23"/>
    <mergeCell ref="M8:N8"/>
    <mergeCell ref="M9:N9"/>
    <mergeCell ref="M10:N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C2BFB-BE82-4E23-A3C8-9AE1D59B46D4}">
  <dimension ref="A1:J48"/>
  <sheetViews>
    <sheetView zoomScale="49" zoomScaleNormal="160" workbookViewId="0">
      <selection activeCell="F7" sqref="F7"/>
    </sheetView>
  </sheetViews>
  <sheetFormatPr defaultRowHeight="18" x14ac:dyDescent="0.35"/>
  <cols>
    <col min="1" max="1" width="23.4140625" customWidth="1"/>
    <col min="2" max="2" width="15.08203125" bestFit="1" customWidth="1"/>
    <col min="3" max="3" width="13.83203125" bestFit="1" customWidth="1"/>
    <col min="4" max="4" width="12.6640625" bestFit="1" customWidth="1"/>
    <col min="5" max="5" width="13.83203125" bestFit="1" customWidth="1"/>
    <col min="6" max="6" width="13" bestFit="1" customWidth="1"/>
    <col min="7" max="7" width="13.83203125" bestFit="1" customWidth="1"/>
    <col min="8" max="8" width="12.83203125" bestFit="1" customWidth="1"/>
    <col min="9" max="9" width="11.83203125" bestFit="1" customWidth="1"/>
    <col min="10" max="10" width="13.83203125" bestFit="1" customWidth="1"/>
  </cols>
  <sheetData>
    <row r="1" spans="1:10" ht="29.4" customHeight="1" thickBot="1" x14ac:dyDescent="0.5">
      <c r="A1" s="64" t="s">
        <v>126</v>
      </c>
      <c r="B1" s="65"/>
      <c r="C1" s="65"/>
      <c r="D1" s="65"/>
      <c r="E1" s="65"/>
      <c r="F1" s="65"/>
      <c r="G1" s="65"/>
      <c r="H1" s="65"/>
      <c r="I1" s="65"/>
      <c r="J1" s="66"/>
    </row>
    <row r="2" spans="1:10" ht="15" customHeight="1" thickBot="1" x14ac:dyDescent="0.4"/>
    <row r="3" spans="1:10" ht="22.05" customHeight="1" thickBot="1" x14ac:dyDescent="0.4">
      <c r="A3" s="83" t="s">
        <v>100</v>
      </c>
      <c r="B3" s="84"/>
      <c r="C3" s="84"/>
      <c r="D3" s="85"/>
    </row>
    <row r="4" spans="1:10" s="3" customFormat="1" ht="16.95" customHeight="1" x14ac:dyDescent="0.35">
      <c r="A4" s="67" t="s">
        <v>83</v>
      </c>
      <c r="B4" s="68" t="s">
        <v>84</v>
      </c>
      <c r="C4" s="68" t="s">
        <v>85</v>
      </c>
      <c r="D4" s="68" t="s">
        <v>86</v>
      </c>
      <c r="E4" s="69" t="s">
        <v>87</v>
      </c>
    </row>
    <row r="5" spans="1:10" ht="16.95" customHeight="1" x14ac:dyDescent="0.35">
      <c r="A5" s="70" t="s">
        <v>88</v>
      </c>
      <c r="B5" s="142">
        <v>52000</v>
      </c>
      <c r="C5" s="142">
        <v>0</v>
      </c>
      <c r="D5" s="142">
        <v>0</v>
      </c>
      <c r="E5" s="143">
        <f>SUM(B5:D5)</f>
        <v>52000</v>
      </c>
    </row>
    <row r="6" spans="1:10" ht="16.95" customHeight="1" x14ac:dyDescent="0.35">
      <c r="A6" s="70" t="s">
        <v>89</v>
      </c>
      <c r="B6" s="142">
        <v>52000</v>
      </c>
      <c r="C6" s="142">
        <v>0</v>
      </c>
      <c r="D6" s="142">
        <v>2000</v>
      </c>
      <c r="E6" s="143">
        <f t="shared" ref="E6:E16" si="0">SUM(B6:D6)</f>
        <v>54000</v>
      </c>
    </row>
    <row r="7" spans="1:10" ht="16.95" customHeight="1" x14ac:dyDescent="0.35">
      <c r="A7" s="70" t="s">
        <v>90</v>
      </c>
      <c r="B7" s="142">
        <v>52000</v>
      </c>
      <c r="C7" s="142">
        <v>0</v>
      </c>
      <c r="D7" s="142">
        <v>0</v>
      </c>
      <c r="E7" s="143">
        <f t="shared" si="0"/>
        <v>52000</v>
      </c>
    </row>
    <row r="8" spans="1:10" ht="16.95" customHeight="1" x14ac:dyDescent="0.35">
      <c r="A8" s="70" t="s">
        <v>91</v>
      </c>
      <c r="B8" s="142">
        <v>52000</v>
      </c>
      <c r="C8" s="142">
        <v>0</v>
      </c>
      <c r="D8" s="142">
        <v>1500</v>
      </c>
      <c r="E8" s="143">
        <f t="shared" si="0"/>
        <v>53500</v>
      </c>
    </row>
    <row r="9" spans="1:10" ht="16.95" customHeight="1" x14ac:dyDescent="0.35">
      <c r="A9" s="70" t="s">
        <v>92</v>
      </c>
      <c r="B9" s="142">
        <v>52000</v>
      </c>
      <c r="C9" s="142">
        <v>0</v>
      </c>
      <c r="D9" s="142">
        <v>0</v>
      </c>
      <c r="E9" s="143">
        <f t="shared" si="0"/>
        <v>52000</v>
      </c>
    </row>
    <row r="10" spans="1:10" ht="16.95" customHeight="1" x14ac:dyDescent="0.35">
      <c r="A10" s="70" t="s">
        <v>93</v>
      </c>
      <c r="B10" s="142">
        <v>52000</v>
      </c>
      <c r="C10" s="142">
        <v>0</v>
      </c>
      <c r="D10" s="142">
        <v>2500</v>
      </c>
      <c r="E10" s="143">
        <f t="shared" si="0"/>
        <v>54500</v>
      </c>
    </row>
    <row r="11" spans="1:10" ht="16.95" customHeight="1" x14ac:dyDescent="0.35">
      <c r="A11" s="70" t="s">
        <v>94</v>
      </c>
      <c r="B11" s="142">
        <v>52000</v>
      </c>
      <c r="C11" s="142">
        <v>30000</v>
      </c>
      <c r="D11" s="142">
        <v>0</v>
      </c>
      <c r="E11" s="143">
        <f t="shared" si="0"/>
        <v>82000</v>
      </c>
    </row>
    <row r="12" spans="1:10" ht="16.95" customHeight="1" x14ac:dyDescent="0.35">
      <c r="A12" s="70" t="s">
        <v>95</v>
      </c>
      <c r="B12" s="142">
        <v>52000</v>
      </c>
      <c r="C12" s="142">
        <v>0</v>
      </c>
      <c r="D12" s="142">
        <v>0</v>
      </c>
      <c r="E12" s="143">
        <f t="shared" si="0"/>
        <v>52000</v>
      </c>
      <c r="J12" s="63"/>
    </row>
    <row r="13" spans="1:10" ht="16.95" customHeight="1" x14ac:dyDescent="0.35">
      <c r="A13" s="70" t="s">
        <v>96</v>
      </c>
      <c r="B13" s="142">
        <v>52000</v>
      </c>
      <c r="C13" s="142">
        <v>0</v>
      </c>
      <c r="D13" s="142">
        <v>0</v>
      </c>
      <c r="E13" s="143">
        <f t="shared" si="0"/>
        <v>52000</v>
      </c>
    </row>
    <row r="14" spans="1:10" ht="16.95" customHeight="1" x14ac:dyDescent="0.35">
      <c r="A14" s="70" t="s">
        <v>97</v>
      </c>
      <c r="B14" s="142">
        <v>52000</v>
      </c>
      <c r="C14" s="142">
        <v>0</v>
      </c>
      <c r="D14" s="142">
        <v>1000</v>
      </c>
      <c r="E14" s="143">
        <f t="shared" si="0"/>
        <v>53000</v>
      </c>
    </row>
    <row r="15" spans="1:10" ht="16.95" customHeight="1" x14ac:dyDescent="0.35">
      <c r="A15" s="70" t="s">
        <v>98</v>
      </c>
      <c r="B15" s="142">
        <v>52000</v>
      </c>
      <c r="C15" s="142">
        <v>0</v>
      </c>
      <c r="D15" s="142">
        <v>0</v>
      </c>
      <c r="E15" s="143">
        <f t="shared" si="0"/>
        <v>52000</v>
      </c>
    </row>
    <row r="16" spans="1:10" ht="16.95" customHeight="1" x14ac:dyDescent="0.35">
      <c r="A16" s="72" t="s">
        <v>99</v>
      </c>
      <c r="B16" s="144">
        <v>52000</v>
      </c>
      <c r="C16" s="144">
        <v>0</v>
      </c>
      <c r="D16" s="144">
        <v>3000</v>
      </c>
      <c r="E16" s="145">
        <f t="shared" si="0"/>
        <v>55000</v>
      </c>
    </row>
    <row r="17" spans="1:10" ht="16.95" customHeight="1" x14ac:dyDescent="0.35">
      <c r="A17" s="72" t="s">
        <v>127</v>
      </c>
      <c r="B17" s="144">
        <f>SUBTOTAL(109,Table2[Salary])</f>
        <v>624000</v>
      </c>
      <c r="C17" s="144">
        <f>SUBTOTAL(109,Table2[Bonus])</f>
        <v>30000</v>
      </c>
      <c r="D17" s="144">
        <f>SUBTOTAL(109,Table2[Other Income])</f>
        <v>10000</v>
      </c>
      <c r="E17" s="145">
        <f>SUBTOTAL(109,Table2[Total Income])</f>
        <v>664000</v>
      </c>
    </row>
    <row r="18" spans="1:10" ht="16.95" customHeight="1" thickBot="1" x14ac:dyDescent="0.4"/>
    <row r="19" spans="1:10" ht="22.05" customHeight="1" thickBot="1" x14ac:dyDescent="0.4">
      <c r="A19" s="83" t="s">
        <v>101</v>
      </c>
      <c r="B19" s="84"/>
      <c r="C19" s="84"/>
      <c r="D19" s="85"/>
    </row>
    <row r="20" spans="1:10" s="3" customFormat="1" ht="16.95" customHeight="1" x14ac:dyDescent="0.45">
      <c r="A20" s="74" t="s">
        <v>83</v>
      </c>
      <c r="B20" s="75" t="s">
        <v>102</v>
      </c>
      <c r="C20" s="75" t="s">
        <v>103</v>
      </c>
      <c r="D20" s="75" t="s">
        <v>104</v>
      </c>
      <c r="E20" s="75" t="s">
        <v>105</v>
      </c>
      <c r="F20" s="75" t="s">
        <v>106</v>
      </c>
      <c r="G20" s="75" t="s">
        <v>107</v>
      </c>
      <c r="H20" s="75" t="s">
        <v>43</v>
      </c>
      <c r="I20" s="75" t="s">
        <v>108</v>
      </c>
      <c r="J20" s="76" t="s">
        <v>67</v>
      </c>
    </row>
    <row r="21" spans="1:10" ht="16.95" customHeight="1" x14ac:dyDescent="0.35">
      <c r="A21" s="70" t="s">
        <v>88</v>
      </c>
      <c r="B21" s="142">
        <v>15000</v>
      </c>
      <c r="C21" s="142">
        <v>6000</v>
      </c>
      <c r="D21" s="142">
        <v>2500</v>
      </c>
      <c r="E21" s="142">
        <v>2500</v>
      </c>
      <c r="F21" s="142">
        <v>3000</v>
      </c>
      <c r="G21" s="142">
        <v>2000</v>
      </c>
      <c r="H21" s="142">
        <v>5000</v>
      </c>
      <c r="I21" s="142">
        <v>1500</v>
      </c>
      <c r="J21" s="143">
        <f>SUM(B21:I21)</f>
        <v>37500</v>
      </c>
    </row>
    <row r="22" spans="1:10" ht="16.95" customHeight="1" x14ac:dyDescent="0.35">
      <c r="A22" s="70" t="s">
        <v>89</v>
      </c>
      <c r="B22" s="142">
        <v>15000</v>
      </c>
      <c r="C22" s="142">
        <v>6200</v>
      </c>
      <c r="D22" s="142">
        <v>2600</v>
      </c>
      <c r="E22" s="142">
        <v>2400</v>
      </c>
      <c r="F22" s="142">
        <v>2500</v>
      </c>
      <c r="G22" s="142">
        <v>2500</v>
      </c>
      <c r="H22" s="142">
        <v>5000</v>
      </c>
      <c r="I22" s="142">
        <v>1200</v>
      </c>
      <c r="J22" s="143">
        <f t="shared" ref="J22:J32" si="1">SUM(B22:I22)</f>
        <v>37400</v>
      </c>
    </row>
    <row r="23" spans="1:10" ht="16.95" customHeight="1" x14ac:dyDescent="0.35">
      <c r="A23" s="70" t="s">
        <v>90</v>
      </c>
      <c r="B23" s="142">
        <v>15000</v>
      </c>
      <c r="C23" s="142">
        <v>6300</v>
      </c>
      <c r="D23" s="142">
        <v>2700</v>
      </c>
      <c r="E23" s="142">
        <v>2600</v>
      </c>
      <c r="F23" s="142">
        <v>4000</v>
      </c>
      <c r="G23" s="142">
        <v>2500</v>
      </c>
      <c r="H23" s="142">
        <v>5000</v>
      </c>
      <c r="I23" s="142">
        <v>41500</v>
      </c>
      <c r="J23" s="143">
        <f t="shared" si="1"/>
        <v>79600</v>
      </c>
    </row>
    <row r="24" spans="1:10" ht="16.95" customHeight="1" x14ac:dyDescent="0.35">
      <c r="A24" s="70" t="s">
        <v>91</v>
      </c>
      <c r="B24" s="142">
        <v>15000</v>
      </c>
      <c r="C24" s="142">
        <v>6100</v>
      </c>
      <c r="D24" s="142">
        <v>2500</v>
      </c>
      <c r="E24" s="142">
        <v>2500</v>
      </c>
      <c r="F24" s="142">
        <v>2000</v>
      </c>
      <c r="G24" s="142">
        <v>1800</v>
      </c>
      <c r="H24" s="142">
        <v>5000</v>
      </c>
      <c r="I24" s="142">
        <v>1000</v>
      </c>
      <c r="J24" s="143">
        <f t="shared" si="1"/>
        <v>35900</v>
      </c>
    </row>
    <row r="25" spans="1:10" ht="16.95" customHeight="1" x14ac:dyDescent="0.35">
      <c r="A25" s="70" t="s">
        <v>92</v>
      </c>
      <c r="B25" s="142">
        <v>15000</v>
      </c>
      <c r="C25" s="142">
        <v>6400</v>
      </c>
      <c r="D25" s="142">
        <v>2700</v>
      </c>
      <c r="E25" s="142">
        <v>2600</v>
      </c>
      <c r="F25" s="142">
        <v>2500</v>
      </c>
      <c r="G25" s="142">
        <v>2000</v>
      </c>
      <c r="H25" s="142">
        <v>5000</v>
      </c>
      <c r="I25" s="142">
        <v>1500</v>
      </c>
      <c r="J25" s="143">
        <f t="shared" si="1"/>
        <v>37700</v>
      </c>
    </row>
    <row r="26" spans="1:10" ht="16.95" customHeight="1" x14ac:dyDescent="0.35">
      <c r="A26" s="70" t="s">
        <v>93</v>
      </c>
      <c r="B26" s="142">
        <v>15000</v>
      </c>
      <c r="C26" s="142">
        <v>6500</v>
      </c>
      <c r="D26" s="142">
        <v>2800</v>
      </c>
      <c r="E26" s="142">
        <v>2700</v>
      </c>
      <c r="F26" s="142">
        <v>3000</v>
      </c>
      <c r="G26" s="142">
        <v>2500</v>
      </c>
      <c r="H26" s="142">
        <v>5000</v>
      </c>
      <c r="I26" s="142">
        <v>1800</v>
      </c>
      <c r="J26" s="143">
        <f t="shared" si="1"/>
        <v>39300</v>
      </c>
    </row>
    <row r="27" spans="1:10" ht="16.95" customHeight="1" x14ac:dyDescent="0.35">
      <c r="A27" s="70" t="s">
        <v>94</v>
      </c>
      <c r="B27" s="142">
        <v>15000</v>
      </c>
      <c r="C27" s="142">
        <v>6300</v>
      </c>
      <c r="D27" s="142">
        <v>2700</v>
      </c>
      <c r="E27" s="142">
        <v>2600</v>
      </c>
      <c r="F27" s="142">
        <v>4500</v>
      </c>
      <c r="G27" s="142">
        <v>3500</v>
      </c>
      <c r="H27" s="142">
        <v>5000</v>
      </c>
      <c r="I27" s="142">
        <v>2000</v>
      </c>
      <c r="J27" s="143">
        <f t="shared" si="1"/>
        <v>41600</v>
      </c>
    </row>
    <row r="28" spans="1:10" ht="16.95" customHeight="1" x14ac:dyDescent="0.35">
      <c r="A28" s="70" t="s">
        <v>95</v>
      </c>
      <c r="B28" s="142">
        <v>15000</v>
      </c>
      <c r="C28" s="142">
        <v>6400</v>
      </c>
      <c r="D28" s="142">
        <v>2700</v>
      </c>
      <c r="E28" s="142">
        <v>2500</v>
      </c>
      <c r="F28" s="142">
        <v>2500</v>
      </c>
      <c r="G28" s="142">
        <v>2000</v>
      </c>
      <c r="H28" s="142">
        <v>5000</v>
      </c>
      <c r="I28" s="142">
        <v>1500</v>
      </c>
      <c r="J28" s="143">
        <f t="shared" si="1"/>
        <v>37600</v>
      </c>
    </row>
    <row r="29" spans="1:10" ht="16.95" customHeight="1" x14ac:dyDescent="0.35">
      <c r="A29" s="70" t="s">
        <v>96</v>
      </c>
      <c r="B29" s="142">
        <v>15000</v>
      </c>
      <c r="C29" s="142">
        <v>6500</v>
      </c>
      <c r="D29" s="142">
        <v>2800</v>
      </c>
      <c r="E29" s="142">
        <v>2700</v>
      </c>
      <c r="F29" s="142">
        <v>2500</v>
      </c>
      <c r="G29" s="142">
        <v>2000</v>
      </c>
      <c r="H29" s="142">
        <v>5000</v>
      </c>
      <c r="I29" s="142">
        <v>26500</v>
      </c>
      <c r="J29" s="143">
        <f t="shared" si="1"/>
        <v>63000</v>
      </c>
    </row>
    <row r="30" spans="1:10" ht="16.95" customHeight="1" x14ac:dyDescent="0.35">
      <c r="A30" s="70" t="s">
        <v>97</v>
      </c>
      <c r="B30" s="142">
        <v>15000</v>
      </c>
      <c r="C30" s="142">
        <v>6400</v>
      </c>
      <c r="D30" s="142">
        <v>2700</v>
      </c>
      <c r="E30" s="142">
        <v>2500</v>
      </c>
      <c r="F30" s="142">
        <v>3500</v>
      </c>
      <c r="G30" s="142">
        <v>2500</v>
      </c>
      <c r="H30" s="142">
        <v>5000</v>
      </c>
      <c r="I30" s="142">
        <v>1500</v>
      </c>
      <c r="J30" s="143">
        <f t="shared" si="1"/>
        <v>39100</v>
      </c>
    </row>
    <row r="31" spans="1:10" ht="16.95" customHeight="1" x14ac:dyDescent="0.35">
      <c r="A31" s="70" t="s">
        <v>98</v>
      </c>
      <c r="B31" s="142">
        <v>15000</v>
      </c>
      <c r="C31" s="142">
        <v>6300</v>
      </c>
      <c r="D31" s="142">
        <v>2700</v>
      </c>
      <c r="E31" s="142">
        <v>2600</v>
      </c>
      <c r="F31" s="142">
        <v>2000</v>
      </c>
      <c r="G31" s="142">
        <v>2000</v>
      </c>
      <c r="H31" s="142">
        <v>5000</v>
      </c>
      <c r="I31" s="142">
        <v>1300</v>
      </c>
      <c r="J31" s="143">
        <f t="shared" si="1"/>
        <v>36900</v>
      </c>
    </row>
    <row r="32" spans="1:10" ht="16.95" customHeight="1" x14ac:dyDescent="0.35">
      <c r="A32" s="72" t="s">
        <v>99</v>
      </c>
      <c r="B32" s="144">
        <v>15000</v>
      </c>
      <c r="C32" s="144">
        <v>6800</v>
      </c>
      <c r="D32" s="144">
        <v>3000</v>
      </c>
      <c r="E32" s="144">
        <v>2700</v>
      </c>
      <c r="F32" s="144">
        <v>5000</v>
      </c>
      <c r="G32" s="144">
        <v>4000</v>
      </c>
      <c r="H32" s="144">
        <v>5000</v>
      </c>
      <c r="I32" s="144">
        <v>2500</v>
      </c>
      <c r="J32" s="145">
        <f t="shared" si="1"/>
        <v>44000</v>
      </c>
    </row>
    <row r="33" spans="1:10" ht="16.95" customHeight="1" x14ac:dyDescent="0.35">
      <c r="A33" s="72" t="s">
        <v>127</v>
      </c>
      <c r="B33" s="144">
        <f>SUBTOTAL(109,Table3[Rent])</f>
        <v>180000</v>
      </c>
      <c r="C33" s="144">
        <f>SUBTOTAL(109,Table3[Food])</f>
        <v>76200</v>
      </c>
      <c r="D33" s="144">
        <f>SUBTOTAL(109,Table3[Utilities])</f>
        <v>32400</v>
      </c>
      <c r="E33" s="144">
        <f>SUBTOTAL(109,Table3[Transport])</f>
        <v>30900</v>
      </c>
      <c r="F33" s="144">
        <f>SUBTOTAL(109,Table3[Shopping])</f>
        <v>37000</v>
      </c>
      <c r="G33" s="144">
        <f>SUBTOTAL(109,Table3[Entertainment])</f>
        <v>29300</v>
      </c>
      <c r="H33" s="144">
        <f>SUBTOTAL(109,Table3[Parents Support])</f>
        <v>60000</v>
      </c>
      <c r="I33" s="144">
        <f>SUBTOTAL(109,Table3[Misc.])</f>
        <v>83800</v>
      </c>
      <c r="J33" s="145">
        <f>SUBTOTAL(109,Table3[Total Expenses])</f>
        <v>529600</v>
      </c>
    </row>
    <row r="34" spans="1:10" ht="16.95" customHeight="1" thickBot="1" x14ac:dyDescent="0.4"/>
    <row r="35" spans="1:10" s="3" customFormat="1" ht="22.05" customHeight="1" thickBot="1" x14ac:dyDescent="0.4">
      <c r="A35" s="83" t="s">
        <v>35</v>
      </c>
      <c r="B35" s="84"/>
      <c r="C35" s="84"/>
      <c r="D35" s="85"/>
      <c r="E35"/>
      <c r="F35"/>
      <c r="G35"/>
      <c r="H35"/>
      <c r="I35"/>
      <c r="J35"/>
    </row>
    <row r="36" spans="1:10" ht="16.95" customHeight="1" x14ac:dyDescent="0.35">
      <c r="A36" s="67" t="s">
        <v>36</v>
      </c>
      <c r="B36" s="68" t="s">
        <v>37</v>
      </c>
      <c r="C36" s="68" t="s">
        <v>109</v>
      </c>
      <c r="D36" s="68" t="s">
        <v>39</v>
      </c>
      <c r="E36" s="68" t="s">
        <v>110</v>
      </c>
      <c r="F36" s="69" t="s">
        <v>111</v>
      </c>
      <c r="G36" s="3"/>
      <c r="H36" s="3"/>
      <c r="I36" s="3"/>
      <c r="J36" s="3"/>
    </row>
    <row r="37" spans="1:10" ht="16.95" customHeight="1" x14ac:dyDescent="0.35">
      <c r="A37" s="70" t="s">
        <v>40</v>
      </c>
      <c r="B37" s="142">
        <v>150000</v>
      </c>
      <c r="C37" s="71">
        <v>12</v>
      </c>
      <c r="D37" s="77" t="s">
        <v>42</v>
      </c>
      <c r="E37" s="142">
        <f>B37/C37</f>
        <v>12500</v>
      </c>
      <c r="F37" s="78">
        <v>0</v>
      </c>
    </row>
    <row r="38" spans="1:10" ht="16.95" customHeight="1" x14ac:dyDescent="0.35">
      <c r="A38" s="70" t="s">
        <v>43</v>
      </c>
      <c r="B38" s="142">
        <v>5000</v>
      </c>
      <c r="C38" s="71" t="s">
        <v>45</v>
      </c>
      <c r="D38" s="77" t="s">
        <v>42</v>
      </c>
      <c r="E38" s="142" t="s">
        <v>112</v>
      </c>
      <c r="F38" s="78" t="s">
        <v>112</v>
      </c>
    </row>
    <row r="39" spans="1:10" ht="16.95" customHeight="1" x14ac:dyDescent="0.35">
      <c r="A39" s="70" t="s">
        <v>46</v>
      </c>
      <c r="B39" s="142">
        <v>500000</v>
      </c>
      <c r="C39" s="71">
        <v>36</v>
      </c>
      <c r="D39" s="77" t="s">
        <v>42</v>
      </c>
      <c r="E39" s="142">
        <f>B39/C39</f>
        <v>13888.888888888889</v>
      </c>
      <c r="F39" s="78">
        <v>0</v>
      </c>
    </row>
    <row r="40" spans="1:10" ht="16.95" customHeight="1" x14ac:dyDescent="0.35">
      <c r="A40" s="70" t="s">
        <v>159</v>
      </c>
      <c r="B40" s="142">
        <v>30000</v>
      </c>
      <c r="C40" s="71">
        <v>6</v>
      </c>
      <c r="D40" s="77" t="s">
        <v>49</v>
      </c>
      <c r="E40" s="142">
        <f>B40/C40</f>
        <v>5000</v>
      </c>
      <c r="F40" s="78">
        <v>0</v>
      </c>
    </row>
    <row r="41" spans="1:10" ht="16.95" customHeight="1" x14ac:dyDescent="0.35">
      <c r="A41" s="72" t="s">
        <v>50</v>
      </c>
      <c r="B41" s="144">
        <v>1000000</v>
      </c>
      <c r="C41" s="73">
        <v>84</v>
      </c>
      <c r="D41" s="79" t="s">
        <v>49</v>
      </c>
      <c r="E41" s="144">
        <f>B41/C41</f>
        <v>11904.761904761905</v>
      </c>
      <c r="F41" s="80">
        <v>0</v>
      </c>
    </row>
    <row r="42" spans="1:10" ht="16.95" customHeight="1" thickBot="1" x14ac:dyDescent="0.4">
      <c r="A42" s="63"/>
      <c r="B42" s="63"/>
      <c r="C42" s="63"/>
      <c r="D42" s="63"/>
      <c r="E42" s="63"/>
      <c r="F42" s="63"/>
    </row>
    <row r="43" spans="1:10" s="3" customFormat="1" ht="22.05" customHeight="1" thickBot="1" x14ac:dyDescent="0.4">
      <c r="A43" s="83" t="s">
        <v>113</v>
      </c>
      <c r="B43" s="84"/>
      <c r="C43" s="84"/>
      <c r="D43" s="85"/>
      <c r="E43"/>
      <c r="F43"/>
      <c r="G43"/>
      <c r="H43"/>
      <c r="I43"/>
      <c r="J43"/>
    </row>
    <row r="44" spans="1:10" ht="16.95" customHeight="1" x14ac:dyDescent="0.35">
      <c r="A44" s="67" t="s">
        <v>83</v>
      </c>
      <c r="B44" s="68" t="s">
        <v>114</v>
      </c>
      <c r="C44" s="68" t="s">
        <v>115</v>
      </c>
      <c r="D44" s="68" t="s">
        <v>116</v>
      </c>
      <c r="E44" s="69" t="s">
        <v>117</v>
      </c>
      <c r="F44" s="3"/>
      <c r="G44" s="3"/>
      <c r="H44" s="3"/>
      <c r="I44" s="3"/>
      <c r="J44" s="3"/>
    </row>
    <row r="45" spans="1:10" ht="16.95" customHeight="1" x14ac:dyDescent="0.35">
      <c r="A45" s="70" t="s">
        <v>90</v>
      </c>
      <c r="B45" s="77" t="s">
        <v>118</v>
      </c>
      <c r="C45" s="77" t="s">
        <v>119</v>
      </c>
      <c r="D45" s="142">
        <v>40000</v>
      </c>
      <c r="E45" s="81" t="s">
        <v>120</v>
      </c>
    </row>
    <row r="46" spans="1:10" ht="16.95" customHeight="1" x14ac:dyDescent="0.35">
      <c r="A46" s="70" t="s">
        <v>94</v>
      </c>
      <c r="B46" s="77" t="s">
        <v>57</v>
      </c>
      <c r="C46" s="77" t="s">
        <v>121</v>
      </c>
      <c r="D46" s="142">
        <v>30000</v>
      </c>
      <c r="E46" s="81" t="s">
        <v>122</v>
      </c>
    </row>
    <row r="47" spans="1:10" ht="16.95" customHeight="1" x14ac:dyDescent="0.35">
      <c r="A47" s="70" t="s">
        <v>96</v>
      </c>
      <c r="B47" s="77" t="s">
        <v>123</v>
      </c>
      <c r="C47" s="77" t="s">
        <v>119</v>
      </c>
      <c r="D47" s="142">
        <v>25000</v>
      </c>
      <c r="E47" s="81" t="s">
        <v>120</v>
      </c>
    </row>
    <row r="48" spans="1:10" ht="44.4" x14ac:dyDescent="0.35">
      <c r="A48" s="72" t="s">
        <v>124</v>
      </c>
      <c r="B48" s="79" t="s">
        <v>58</v>
      </c>
      <c r="C48" s="79" t="s">
        <v>121</v>
      </c>
      <c r="D48" s="73" t="s">
        <v>125</v>
      </c>
      <c r="E48" s="82" t="s">
        <v>122</v>
      </c>
    </row>
  </sheetData>
  <mergeCells count="5">
    <mergeCell ref="A3:D3"/>
    <mergeCell ref="A19:D19"/>
    <mergeCell ref="A35:D35"/>
    <mergeCell ref="A43:D43"/>
    <mergeCell ref="A1:J1"/>
  </mergeCells>
  <pageMargins left="0.7" right="0.7" top="0.75" bottom="0.75" header="0.3" footer="0.3"/>
  <ignoredErrors>
    <ignoredError sqref="E38" calculatedColumn="1"/>
  </ignoredErrors>
  <tableParts count="4">
    <tablePart r:id="rId1"/>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A6DFF-B3A9-4482-B122-5865F897F351}">
  <dimension ref="A1:K27"/>
  <sheetViews>
    <sheetView zoomScale="64" workbookViewId="0">
      <selection sqref="A1:K1"/>
    </sheetView>
  </sheetViews>
  <sheetFormatPr defaultRowHeight="18" x14ac:dyDescent="0.35"/>
  <cols>
    <col min="1" max="1" width="9.58203125" customWidth="1"/>
    <col min="2" max="2" width="14.58203125" customWidth="1"/>
    <col min="3" max="3" width="17.25" customWidth="1"/>
    <col min="4" max="4" width="19.75" customWidth="1"/>
    <col min="5" max="6" width="9.58203125" customWidth="1"/>
    <col min="7" max="7" width="1.9140625" customWidth="1"/>
    <col min="8" max="8" width="9.58203125" customWidth="1"/>
    <col min="9" max="9" width="17.75" customWidth="1"/>
    <col min="10" max="11" width="9.58203125" customWidth="1"/>
  </cols>
  <sheetData>
    <row r="1" spans="1:11" ht="30" customHeight="1" thickBot="1" x14ac:dyDescent="0.5">
      <c r="A1" s="64" t="s">
        <v>153</v>
      </c>
      <c r="B1" s="65"/>
      <c r="C1" s="65"/>
      <c r="D1" s="65"/>
      <c r="E1" s="65"/>
      <c r="F1" s="65"/>
      <c r="G1" s="65"/>
      <c r="H1" s="65"/>
      <c r="I1" s="65"/>
      <c r="J1" s="65"/>
      <c r="K1" s="66"/>
    </row>
    <row r="2" spans="1:11" ht="18" customHeight="1" thickBot="1" x14ac:dyDescent="0.4"/>
    <row r="3" spans="1:11" ht="22.05" customHeight="1" thickBot="1" x14ac:dyDescent="0.45">
      <c r="A3" s="101" t="s">
        <v>128</v>
      </c>
      <c r="B3" s="102"/>
      <c r="C3" s="102"/>
      <c r="D3" s="102"/>
      <c r="E3" s="103"/>
      <c r="H3" s="106" t="s">
        <v>130</v>
      </c>
      <c r="I3" s="107"/>
      <c r="J3" s="107"/>
      <c r="K3" s="108"/>
    </row>
    <row r="4" spans="1:11" s="3" customFormat="1" ht="19.05" customHeight="1" x14ac:dyDescent="0.35">
      <c r="A4" s="115" t="s">
        <v>83</v>
      </c>
      <c r="B4" s="68" t="s">
        <v>87</v>
      </c>
      <c r="C4" s="68" t="s">
        <v>67</v>
      </c>
      <c r="D4" s="68" t="s">
        <v>69</v>
      </c>
      <c r="E4" s="116" t="s">
        <v>129</v>
      </c>
      <c r="H4" s="117" t="s">
        <v>131</v>
      </c>
      <c r="I4" s="118"/>
      <c r="J4" s="118" t="s">
        <v>132</v>
      </c>
      <c r="K4" s="119"/>
    </row>
    <row r="5" spans="1:11" ht="19.05" customHeight="1" x14ac:dyDescent="0.35">
      <c r="A5" s="109" t="s">
        <v>88</v>
      </c>
      <c r="B5" s="133">
        <f>Table2[[#This Row],[Total Income]]</f>
        <v>52000</v>
      </c>
      <c r="C5" s="133">
        <f>Data!J21</f>
        <v>37500</v>
      </c>
      <c r="D5" s="133">
        <f>B5-C5</f>
        <v>14500</v>
      </c>
      <c r="E5" s="110">
        <f>D5/B5</f>
        <v>0.27884615384615385</v>
      </c>
      <c r="H5" s="90" t="s">
        <v>133</v>
      </c>
      <c r="I5" s="86"/>
      <c r="J5" s="138">
        <f>Table2[[#Totals],[Total Income]]</f>
        <v>664000</v>
      </c>
      <c r="K5" s="139"/>
    </row>
    <row r="6" spans="1:11" ht="19.05" customHeight="1" x14ac:dyDescent="0.35">
      <c r="A6" s="109" t="s">
        <v>89</v>
      </c>
      <c r="B6" s="133">
        <f>Table2[[#This Row],[Total Income]]</f>
        <v>54000</v>
      </c>
      <c r="C6" s="133">
        <f>Data!J22</f>
        <v>37400</v>
      </c>
      <c r="D6" s="133">
        <f t="shared" ref="D6:D16" si="0">B6-C6</f>
        <v>16600</v>
      </c>
      <c r="E6" s="110">
        <f t="shared" ref="E6:E16" si="1">D6/B6</f>
        <v>0.30740740740740741</v>
      </c>
      <c r="H6" s="90" t="s">
        <v>134</v>
      </c>
      <c r="I6" s="86"/>
      <c r="J6" s="138">
        <f>Table3[[#Totals],[Total Expenses]]</f>
        <v>529600</v>
      </c>
      <c r="K6" s="139"/>
    </row>
    <row r="7" spans="1:11" ht="19.05" customHeight="1" x14ac:dyDescent="0.35">
      <c r="A7" s="109" t="s">
        <v>90</v>
      </c>
      <c r="B7" s="133">
        <f>Table2[[#This Row],[Total Income]]</f>
        <v>52000</v>
      </c>
      <c r="C7" s="133">
        <f>Data!J23</f>
        <v>79600</v>
      </c>
      <c r="D7" s="133">
        <f t="shared" si="0"/>
        <v>-27600</v>
      </c>
      <c r="E7" s="110">
        <f t="shared" si="1"/>
        <v>-0.53076923076923077</v>
      </c>
      <c r="H7" s="90" t="s">
        <v>135</v>
      </c>
      <c r="I7" s="86"/>
      <c r="J7" s="138">
        <f>J5-J6</f>
        <v>134400</v>
      </c>
      <c r="K7" s="139"/>
    </row>
    <row r="8" spans="1:11" ht="19.05" customHeight="1" x14ac:dyDescent="0.35">
      <c r="A8" s="109" t="s">
        <v>91</v>
      </c>
      <c r="B8" s="133">
        <f>Table2[[#This Row],[Total Income]]</f>
        <v>53500</v>
      </c>
      <c r="C8" s="133">
        <f>Data!J24</f>
        <v>35900</v>
      </c>
      <c r="D8" s="133">
        <f t="shared" si="0"/>
        <v>17600</v>
      </c>
      <c r="E8" s="110">
        <f t="shared" si="1"/>
        <v>0.32897196261682243</v>
      </c>
      <c r="H8" s="90" t="s">
        <v>136</v>
      </c>
      <c r="I8" s="86"/>
      <c r="J8" s="87">
        <f>J7/J5</f>
        <v>0.20240963855421687</v>
      </c>
      <c r="K8" s="93"/>
    </row>
    <row r="9" spans="1:11" ht="19.05" customHeight="1" x14ac:dyDescent="0.35">
      <c r="A9" s="109" t="s">
        <v>92</v>
      </c>
      <c r="B9" s="133">
        <f>Table2[[#This Row],[Total Income]]</f>
        <v>52000</v>
      </c>
      <c r="C9" s="133">
        <f>Data!J25</f>
        <v>37700</v>
      </c>
      <c r="D9" s="133">
        <f t="shared" si="0"/>
        <v>14300</v>
      </c>
      <c r="E9" s="110">
        <f t="shared" si="1"/>
        <v>0.27500000000000002</v>
      </c>
      <c r="H9" s="90" t="s">
        <v>137</v>
      </c>
      <c r="I9" s="86"/>
      <c r="J9" s="138">
        <f>AVERAGE(B5:B16)</f>
        <v>55333.333333333336</v>
      </c>
      <c r="K9" s="139"/>
    </row>
    <row r="10" spans="1:11" ht="19.05" customHeight="1" x14ac:dyDescent="0.35">
      <c r="A10" s="109" t="s">
        <v>93</v>
      </c>
      <c r="B10" s="133">
        <f>Table2[[#This Row],[Total Income]]</f>
        <v>54500</v>
      </c>
      <c r="C10" s="133">
        <f>Data!J26</f>
        <v>39300</v>
      </c>
      <c r="D10" s="133">
        <f t="shared" si="0"/>
        <v>15200</v>
      </c>
      <c r="E10" s="110">
        <f t="shared" si="1"/>
        <v>0.27889908256880735</v>
      </c>
      <c r="H10" s="90" t="s">
        <v>138</v>
      </c>
      <c r="I10" s="86"/>
      <c r="J10" s="138">
        <f>AVERAGE(C5:C16)</f>
        <v>44133.333333333336</v>
      </c>
      <c r="K10" s="139"/>
    </row>
    <row r="11" spans="1:11" ht="19.05" customHeight="1" thickBot="1" x14ac:dyDescent="0.4">
      <c r="A11" s="109" t="s">
        <v>94</v>
      </c>
      <c r="B11" s="133">
        <f>Table2[[#This Row],[Total Income]]</f>
        <v>82000</v>
      </c>
      <c r="C11" s="133">
        <f>Data!J27</f>
        <v>41600</v>
      </c>
      <c r="D11" s="133">
        <f t="shared" si="0"/>
        <v>40400</v>
      </c>
      <c r="E11" s="110">
        <f t="shared" si="1"/>
        <v>0.49268292682926829</v>
      </c>
      <c r="H11" s="91" t="s">
        <v>139</v>
      </c>
      <c r="I11" s="92"/>
      <c r="J11" s="140">
        <f>AVERAGE(D5:D16)</f>
        <v>11200</v>
      </c>
      <c r="K11" s="141"/>
    </row>
    <row r="12" spans="1:11" ht="19.05" customHeight="1" x14ac:dyDescent="0.35">
      <c r="A12" s="109" t="s">
        <v>95</v>
      </c>
      <c r="B12" s="133">
        <f>Table2[[#This Row],[Total Income]]</f>
        <v>52000</v>
      </c>
      <c r="C12" s="133">
        <f>Data!J28</f>
        <v>37600</v>
      </c>
      <c r="D12" s="133">
        <f t="shared" si="0"/>
        <v>14400</v>
      </c>
      <c r="E12" s="110">
        <f t="shared" si="1"/>
        <v>0.27692307692307694</v>
      </c>
    </row>
    <row r="13" spans="1:11" ht="19.05" customHeight="1" x14ac:dyDescent="0.35">
      <c r="A13" s="109" t="s">
        <v>96</v>
      </c>
      <c r="B13" s="133">
        <f>Table2[[#This Row],[Total Income]]</f>
        <v>52000</v>
      </c>
      <c r="C13" s="133">
        <f>Data!J29</f>
        <v>63000</v>
      </c>
      <c r="D13" s="133">
        <f t="shared" si="0"/>
        <v>-11000</v>
      </c>
      <c r="E13" s="110">
        <f t="shared" si="1"/>
        <v>-0.21153846153846154</v>
      </c>
    </row>
    <row r="14" spans="1:11" ht="19.05" customHeight="1" x14ac:dyDescent="0.35">
      <c r="A14" s="109" t="s">
        <v>97</v>
      </c>
      <c r="B14" s="133">
        <f>Table2[[#This Row],[Total Income]]</f>
        <v>53000</v>
      </c>
      <c r="C14" s="133">
        <f>Data!J30</f>
        <v>39100</v>
      </c>
      <c r="D14" s="133">
        <f t="shared" si="0"/>
        <v>13900</v>
      </c>
      <c r="E14" s="110">
        <f t="shared" si="1"/>
        <v>0.26226415094339622</v>
      </c>
    </row>
    <row r="15" spans="1:11" ht="19.05" customHeight="1" x14ac:dyDescent="0.35">
      <c r="A15" s="109" t="s">
        <v>98</v>
      </c>
      <c r="B15" s="133">
        <f>Table2[[#This Row],[Total Income]]</f>
        <v>52000</v>
      </c>
      <c r="C15" s="133">
        <f>Data!J31</f>
        <v>36900</v>
      </c>
      <c r="D15" s="133">
        <f t="shared" si="0"/>
        <v>15100</v>
      </c>
      <c r="E15" s="110">
        <f t="shared" si="1"/>
        <v>0.29038461538461541</v>
      </c>
    </row>
    <row r="16" spans="1:11" ht="19.05" customHeight="1" thickBot="1" x14ac:dyDescent="0.4">
      <c r="A16" s="111" t="s">
        <v>99</v>
      </c>
      <c r="B16" s="134">
        <f>Table2[[#This Row],[Total Income]]</f>
        <v>55000</v>
      </c>
      <c r="C16" s="134">
        <f>Data!J32</f>
        <v>44000</v>
      </c>
      <c r="D16" s="134">
        <f t="shared" si="0"/>
        <v>11000</v>
      </c>
      <c r="E16" s="112">
        <f t="shared" si="1"/>
        <v>0.2</v>
      </c>
    </row>
    <row r="17" spans="1:11" ht="19.05" customHeight="1" thickBot="1" x14ac:dyDescent="0.4"/>
    <row r="18" spans="1:11" ht="22.05" customHeight="1" thickBot="1" x14ac:dyDescent="0.45">
      <c r="A18" s="124" t="s">
        <v>140</v>
      </c>
      <c r="B18" s="125"/>
      <c r="C18" s="125"/>
      <c r="D18" s="126"/>
      <c r="H18" s="106" t="s">
        <v>145</v>
      </c>
      <c r="I18" s="107"/>
      <c r="J18" s="107"/>
      <c r="K18" s="108"/>
    </row>
    <row r="19" spans="1:11" s="3" customFormat="1" ht="19.05" customHeight="1" x14ac:dyDescent="0.35">
      <c r="A19" s="117" t="s">
        <v>141</v>
      </c>
      <c r="B19" s="118"/>
      <c r="C19" s="120" t="s">
        <v>142</v>
      </c>
      <c r="D19" s="120" t="s">
        <v>143</v>
      </c>
      <c r="H19" s="117" t="s">
        <v>131</v>
      </c>
      <c r="I19" s="118"/>
      <c r="J19" s="118" t="s">
        <v>132</v>
      </c>
      <c r="K19" s="119"/>
    </row>
    <row r="20" spans="1:11" ht="19.05" customHeight="1" x14ac:dyDescent="0.35">
      <c r="A20" s="113" t="s">
        <v>102</v>
      </c>
      <c r="B20" s="114"/>
      <c r="C20" s="135">
        <f>Table3[[#Totals],[Rent]]</f>
        <v>180000</v>
      </c>
      <c r="D20" s="121">
        <f>C20/$J$6</f>
        <v>0.33987915407854985</v>
      </c>
      <c r="H20" s="90" t="s">
        <v>146</v>
      </c>
      <c r="I20" s="86"/>
      <c r="J20" s="88" t="str">
        <f>INDEX(A5:A16,MATCH(MAX(B5:B16),B5:B16,0))</f>
        <v>July</v>
      </c>
      <c r="K20" s="94"/>
    </row>
    <row r="21" spans="1:11" ht="19.05" customHeight="1" x14ac:dyDescent="0.35">
      <c r="A21" s="90" t="s">
        <v>103</v>
      </c>
      <c r="B21" s="86"/>
      <c r="C21" s="136">
        <f>Table3[[#Totals],[Food]]</f>
        <v>76200</v>
      </c>
      <c r="D21" s="121">
        <f>C21/$J$6</f>
        <v>0.14388217522658611</v>
      </c>
      <c r="H21" s="90" t="s">
        <v>147</v>
      </c>
      <c r="I21" s="86"/>
      <c r="J21" s="88" t="str">
        <f>INDEX(A5:A16,MATCH(MAX(C5:C16),C5:C16,0))</f>
        <v>March</v>
      </c>
      <c r="K21" s="94"/>
    </row>
    <row r="22" spans="1:11" ht="19.05" customHeight="1" x14ac:dyDescent="0.35">
      <c r="A22" s="90" t="s">
        <v>104</v>
      </c>
      <c r="B22" s="86"/>
      <c r="C22" s="136">
        <f>Table3[[#Totals],[Utilities]]</f>
        <v>32400</v>
      </c>
      <c r="D22" s="121">
        <f>C22/$J$6</f>
        <v>6.117824773413897E-2</v>
      </c>
      <c r="H22" s="90" t="s">
        <v>148</v>
      </c>
      <c r="I22" s="86"/>
      <c r="J22" s="88" t="str">
        <f>INDEX(A5:A16,MATCH(MAX(D5:D16),D5:D16,0))</f>
        <v>July</v>
      </c>
      <c r="K22" s="94"/>
    </row>
    <row r="23" spans="1:11" ht="19.05" customHeight="1" x14ac:dyDescent="0.35">
      <c r="A23" s="90" t="s">
        <v>105</v>
      </c>
      <c r="B23" s="86"/>
      <c r="C23" s="136">
        <f>Table3[[#Totals],[Transport]]</f>
        <v>30900</v>
      </c>
      <c r="D23" s="121">
        <f>C23/$J$6</f>
        <v>5.8345921450151057E-2</v>
      </c>
      <c r="H23" s="90" t="s">
        <v>149</v>
      </c>
      <c r="I23" s="86"/>
      <c r="J23" s="88" t="str">
        <f>INDEX(A5:A16,MATCH(MIN(D5:D16),D5:D16,0))</f>
        <v>March</v>
      </c>
      <c r="K23" s="94"/>
    </row>
    <row r="24" spans="1:11" ht="19.05" customHeight="1" x14ac:dyDescent="0.35">
      <c r="A24" s="90" t="s">
        <v>106</v>
      </c>
      <c r="B24" s="86"/>
      <c r="C24" s="136">
        <f>Table3[[#Totals],[Shopping]]</f>
        <v>37000</v>
      </c>
      <c r="D24" s="121">
        <f>C24/$J$6</f>
        <v>6.9864048338368581E-2</v>
      </c>
      <c r="H24" s="90" t="s">
        <v>150</v>
      </c>
      <c r="I24" s="86"/>
      <c r="J24" s="89">
        <f>MAX(E5:E16)</f>
        <v>0.49268292682926829</v>
      </c>
      <c r="K24" s="95"/>
    </row>
    <row r="25" spans="1:11" ht="19.05" customHeight="1" x14ac:dyDescent="0.35">
      <c r="A25" s="90" t="s">
        <v>107</v>
      </c>
      <c r="B25" s="86"/>
      <c r="C25" s="136">
        <f>Table3[[#Totals],[Entertainment]]</f>
        <v>29300</v>
      </c>
      <c r="D25" s="121">
        <f>C25/$J$6</f>
        <v>5.5324773413897278E-2</v>
      </c>
      <c r="H25" s="90" t="s">
        <v>151</v>
      </c>
      <c r="I25" s="86"/>
      <c r="J25" s="89">
        <f>MIN(E5:E16)</f>
        <v>-0.53076923076923077</v>
      </c>
      <c r="K25" s="95"/>
    </row>
    <row r="26" spans="1:11" ht="19.05" customHeight="1" thickBot="1" x14ac:dyDescent="0.4">
      <c r="A26" s="90" t="s">
        <v>144</v>
      </c>
      <c r="B26" s="86"/>
      <c r="C26" s="136">
        <f>Table3[[#Totals],[Parents Support]]</f>
        <v>60000</v>
      </c>
      <c r="D26" s="121">
        <f>C26/$J$6</f>
        <v>0.11329305135951662</v>
      </c>
      <c r="H26" s="91" t="s">
        <v>152</v>
      </c>
      <c r="I26" s="92"/>
      <c r="J26" s="96">
        <f>COUNTIF(D5:D16,"&lt;0")</f>
        <v>2</v>
      </c>
      <c r="K26" s="97"/>
    </row>
    <row r="27" spans="1:11" ht="19.05" customHeight="1" thickBot="1" x14ac:dyDescent="0.4">
      <c r="A27" s="91" t="s">
        <v>108</v>
      </c>
      <c r="B27" s="92"/>
      <c r="C27" s="137">
        <f>Table3[[#Totals],[Misc.]]</f>
        <v>83800</v>
      </c>
      <c r="D27" s="123">
        <f>C27/$J$6</f>
        <v>0.15823262839879154</v>
      </c>
    </row>
  </sheetData>
  <mergeCells count="46">
    <mergeCell ref="A19:B19"/>
    <mergeCell ref="A3:E3"/>
    <mergeCell ref="A18:D18"/>
    <mergeCell ref="A1:K1"/>
    <mergeCell ref="A27:B27"/>
    <mergeCell ref="A26:B26"/>
    <mergeCell ref="A25:B25"/>
    <mergeCell ref="A24:B24"/>
    <mergeCell ref="A23:B23"/>
    <mergeCell ref="A22:B22"/>
    <mergeCell ref="A21:B21"/>
    <mergeCell ref="A20:B20"/>
    <mergeCell ref="H25:I25"/>
    <mergeCell ref="H24:I24"/>
    <mergeCell ref="H23:I23"/>
    <mergeCell ref="H22:I22"/>
    <mergeCell ref="H21:I21"/>
    <mergeCell ref="H20:I20"/>
    <mergeCell ref="H19:I19"/>
    <mergeCell ref="J26:K26"/>
    <mergeCell ref="J25:K25"/>
    <mergeCell ref="J24:K24"/>
    <mergeCell ref="J23:K23"/>
    <mergeCell ref="J22:K22"/>
    <mergeCell ref="J21:K21"/>
    <mergeCell ref="J20:K20"/>
    <mergeCell ref="J19:K19"/>
    <mergeCell ref="H26:I26"/>
    <mergeCell ref="J10:K10"/>
    <mergeCell ref="J11:K11"/>
    <mergeCell ref="H18:K18"/>
    <mergeCell ref="H8:I8"/>
    <mergeCell ref="H9:I9"/>
    <mergeCell ref="H10:I10"/>
    <mergeCell ref="H11:I11"/>
    <mergeCell ref="J4:K4"/>
    <mergeCell ref="J5:K5"/>
    <mergeCell ref="J6:K6"/>
    <mergeCell ref="J7:K7"/>
    <mergeCell ref="J8:K8"/>
    <mergeCell ref="J9:K9"/>
    <mergeCell ref="H3:K3"/>
    <mergeCell ref="H4:I4"/>
    <mergeCell ref="H5:I5"/>
    <mergeCell ref="H6:I6"/>
    <mergeCell ref="H7:I7"/>
  </mergeCells>
  <phoneticPr fontId="1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86DA-6A4E-4AF3-A01A-563A80EEC831}">
  <dimension ref="A1:M21"/>
  <sheetViews>
    <sheetView zoomScale="50" workbookViewId="0">
      <selection activeCell="P17" sqref="P17"/>
    </sheetView>
  </sheetViews>
  <sheetFormatPr defaultRowHeight="18" x14ac:dyDescent="0.35"/>
  <cols>
    <col min="1" max="1" width="20.33203125" customWidth="1"/>
    <col min="2" max="2" width="14.75" bestFit="1" customWidth="1"/>
    <col min="3" max="3" width="13.83203125" bestFit="1" customWidth="1"/>
    <col min="4" max="4" width="13.58203125" bestFit="1" customWidth="1"/>
    <col min="5" max="5" width="14.75" bestFit="1" customWidth="1"/>
    <col min="6" max="7" width="16.25" customWidth="1"/>
    <col min="8" max="8" width="17.25" customWidth="1"/>
    <col min="9" max="9" width="13.83203125" bestFit="1" customWidth="1"/>
    <col min="10" max="10" width="22.5" customWidth="1"/>
    <col min="11" max="11" width="13.83203125" bestFit="1" customWidth="1"/>
    <col min="12" max="13" width="13.58203125" bestFit="1" customWidth="1"/>
    <col min="14" max="14" width="10.58203125" customWidth="1"/>
  </cols>
  <sheetData>
    <row r="1" spans="1:13" s="156" customFormat="1" ht="48" customHeight="1" thickBot="1" x14ac:dyDescent="0.35">
      <c r="A1" s="209" t="s">
        <v>183</v>
      </c>
      <c r="B1" s="210"/>
      <c r="C1" s="210"/>
      <c r="D1" s="210"/>
      <c r="E1" s="210"/>
      <c r="F1" s="210"/>
      <c r="G1" s="210"/>
      <c r="H1" s="210"/>
      <c r="I1" s="210"/>
      <c r="J1" s="210"/>
      <c r="K1" s="210"/>
      <c r="L1" s="211"/>
    </row>
    <row r="2" spans="1:13" ht="18.600000000000001" thickBot="1" x14ac:dyDescent="0.4"/>
    <row r="3" spans="1:13" ht="25.05" customHeight="1" thickBot="1" x14ac:dyDescent="0.45">
      <c r="A3" s="184" t="s">
        <v>154</v>
      </c>
      <c r="B3" s="185"/>
      <c r="C3" s="185"/>
      <c r="D3" s="185"/>
      <c r="E3" s="185"/>
      <c r="F3" s="185"/>
      <c r="G3" s="191"/>
      <c r="H3" s="186"/>
      <c r="J3" s="184" t="s">
        <v>160</v>
      </c>
      <c r="K3" s="186"/>
    </row>
    <row r="4" spans="1:13" ht="66.599999999999994" x14ac:dyDescent="0.35">
      <c r="A4" s="195" t="s">
        <v>36</v>
      </c>
      <c r="B4" s="196" t="s">
        <v>37</v>
      </c>
      <c r="C4" s="196" t="s">
        <v>110</v>
      </c>
      <c r="D4" s="196" t="s">
        <v>155</v>
      </c>
      <c r="E4" s="196" t="s">
        <v>156</v>
      </c>
      <c r="F4" s="196" t="s">
        <v>157</v>
      </c>
      <c r="G4" s="197" t="s">
        <v>188</v>
      </c>
      <c r="H4" s="198" t="s">
        <v>158</v>
      </c>
      <c r="J4" s="183" t="s">
        <v>21</v>
      </c>
      <c r="K4" s="122" t="s">
        <v>54</v>
      </c>
    </row>
    <row r="5" spans="1:13" ht="44.4" x14ac:dyDescent="0.45">
      <c r="A5" s="163" t="s">
        <v>40</v>
      </c>
      <c r="B5" s="157">
        <f>Data!B37</f>
        <v>150000</v>
      </c>
      <c r="C5" s="158">
        <f>Data!E37</f>
        <v>12500</v>
      </c>
      <c r="D5" s="157">
        <v>120000</v>
      </c>
      <c r="E5" s="158">
        <f>B5-D5</f>
        <v>30000</v>
      </c>
      <c r="F5" s="159">
        <f>D5/B5</f>
        <v>0.8</v>
      </c>
      <c r="G5" s="192">
        <f>E5/B5</f>
        <v>0.2</v>
      </c>
      <c r="H5" s="164" t="str">
        <f>IF(F5&gt;=1,"Completed",
IF(F5&gt;=0.75,"On Track",
IF(F5&gt;=0.4,"In Progress",
"Needs Attention")))</f>
        <v>On Track</v>
      </c>
      <c r="J5" s="170" t="s">
        <v>161</v>
      </c>
      <c r="K5" s="171">
        <f>Data!B37</f>
        <v>150000</v>
      </c>
    </row>
    <row r="6" spans="1:13" ht="22.2" x14ac:dyDescent="0.45">
      <c r="A6" s="163" t="s">
        <v>46</v>
      </c>
      <c r="B6" s="157">
        <f>Data!B39</f>
        <v>500000</v>
      </c>
      <c r="C6" s="158">
        <f>Data!E39</f>
        <v>13888.888888888889</v>
      </c>
      <c r="D6" s="157">
        <v>14400</v>
      </c>
      <c r="E6" s="158">
        <f>B6-D6</f>
        <v>485600</v>
      </c>
      <c r="F6" s="159">
        <f t="shared" ref="F6:F8" si="0">D6/B6</f>
        <v>2.8799999999999999E-2</v>
      </c>
      <c r="G6" s="192">
        <f t="shared" ref="G6:G8" si="1">E6/B6</f>
        <v>0.97119999999999995</v>
      </c>
      <c r="H6" s="164" t="str">
        <f t="shared" ref="H6:H8" si="2">IF(F6&gt;=1,"Completed",
IF(F6&gt;=0.75,"On Track",
IF(F6&gt;=0.4,"In Progress",
"Needs Attention")))</f>
        <v>Needs Attention</v>
      </c>
      <c r="J6" s="170" t="s">
        <v>155</v>
      </c>
      <c r="K6" s="171">
        <f>D5</f>
        <v>120000</v>
      </c>
    </row>
    <row r="7" spans="1:13" ht="22.2" x14ac:dyDescent="0.45">
      <c r="A7" s="163" t="s">
        <v>159</v>
      </c>
      <c r="B7" s="157">
        <f>Data!B40</f>
        <v>30000</v>
      </c>
      <c r="C7" s="158">
        <f>Data!E40</f>
        <v>5000</v>
      </c>
      <c r="D7" s="157">
        <v>0</v>
      </c>
      <c r="E7" s="158">
        <f>B7-D7</f>
        <v>30000</v>
      </c>
      <c r="F7" s="159">
        <f t="shared" si="0"/>
        <v>0</v>
      </c>
      <c r="G7" s="192">
        <f t="shared" si="1"/>
        <v>1</v>
      </c>
      <c r="H7" s="164" t="str">
        <f t="shared" si="2"/>
        <v>Needs Attention</v>
      </c>
      <c r="J7" s="170" t="s">
        <v>156</v>
      </c>
      <c r="K7" s="171">
        <f>K5-K6</f>
        <v>30000</v>
      </c>
    </row>
    <row r="8" spans="1:13" ht="45" thickBot="1" x14ac:dyDescent="0.5">
      <c r="A8" s="165" t="s">
        <v>50</v>
      </c>
      <c r="B8" s="166">
        <f>Data!B41</f>
        <v>1000000</v>
      </c>
      <c r="C8" s="167">
        <f>Data!E41</f>
        <v>11904.761904761905</v>
      </c>
      <c r="D8" s="166">
        <v>0</v>
      </c>
      <c r="E8" s="167">
        <f>B8-D8</f>
        <v>1000000</v>
      </c>
      <c r="F8" s="168">
        <f t="shared" si="0"/>
        <v>0</v>
      </c>
      <c r="G8" s="193">
        <f t="shared" si="1"/>
        <v>1</v>
      </c>
      <c r="H8" s="169" t="str">
        <f t="shared" si="2"/>
        <v>Needs Attention</v>
      </c>
      <c r="J8" s="170" t="s">
        <v>139</v>
      </c>
      <c r="K8" s="171">
        <f>Analysis!J11</f>
        <v>11200</v>
      </c>
    </row>
    <row r="9" spans="1:13" ht="22.2" x14ac:dyDescent="0.35">
      <c r="J9" s="170" t="s">
        <v>162</v>
      </c>
      <c r="K9" s="172">
        <f>ROUNDUP(K7/K8,0)</f>
        <v>3</v>
      </c>
    </row>
    <row r="10" spans="1:13" ht="22.2" x14ac:dyDescent="0.35">
      <c r="J10" s="170" t="s">
        <v>163</v>
      </c>
      <c r="K10" s="173">
        <f ca="1">EDATE(TODAY(),K9)</f>
        <v>46295</v>
      </c>
    </row>
    <row r="11" spans="1:13" ht="22.8" thickBot="1" x14ac:dyDescent="0.4">
      <c r="J11" s="174" t="s">
        <v>158</v>
      </c>
      <c r="K11" s="175" t="str">
        <f>IF(K6&gt;=K5,
"Fully Funded",
"Building")</f>
        <v>Building</v>
      </c>
    </row>
    <row r="12" spans="1:13" ht="18.600000000000001" thickBot="1" x14ac:dyDescent="0.4">
      <c r="J12" s="2"/>
      <c r="K12" s="155"/>
      <c r="L12" s="155"/>
      <c r="M12" s="155"/>
    </row>
    <row r="13" spans="1:13" ht="25.05" customHeight="1" thickBot="1" x14ac:dyDescent="0.45">
      <c r="A13" s="184" t="s">
        <v>164</v>
      </c>
      <c r="B13" s="185"/>
      <c r="C13" s="185"/>
      <c r="D13" s="186"/>
      <c r="F13" s="212" t="s">
        <v>172</v>
      </c>
      <c r="G13" s="213"/>
      <c r="H13" s="213"/>
      <c r="I13" s="213"/>
      <c r="J13" s="213"/>
      <c r="K13" s="213"/>
      <c r="L13" s="194"/>
    </row>
    <row r="14" spans="1:13" ht="88.8" customHeight="1" x14ac:dyDescent="0.35">
      <c r="A14" s="98" t="s">
        <v>165</v>
      </c>
      <c r="B14" s="99" t="s">
        <v>133</v>
      </c>
      <c r="C14" s="99" t="s">
        <v>135</v>
      </c>
      <c r="D14" s="100" t="s">
        <v>166</v>
      </c>
      <c r="F14" s="98" t="s">
        <v>173</v>
      </c>
      <c r="G14" s="99" t="s">
        <v>174</v>
      </c>
      <c r="H14" s="99" t="s">
        <v>135</v>
      </c>
      <c r="I14" s="99" t="s">
        <v>175</v>
      </c>
      <c r="J14" s="104" t="s">
        <v>176</v>
      </c>
      <c r="K14" s="104"/>
      <c r="L14" s="105"/>
    </row>
    <row r="15" spans="1:13" ht="54" customHeight="1" x14ac:dyDescent="0.35">
      <c r="A15" s="170" t="s">
        <v>167</v>
      </c>
      <c r="B15" s="161">
        <f>Analysis!J5</f>
        <v>664000</v>
      </c>
      <c r="C15" s="161">
        <f>Analysis!J7</f>
        <v>134400</v>
      </c>
      <c r="D15" s="181">
        <f>C15</f>
        <v>134400</v>
      </c>
      <c r="F15" s="170" t="s">
        <v>177</v>
      </c>
      <c r="G15" s="160">
        <v>0.2</v>
      </c>
      <c r="H15" s="161">
        <f>Analysis!J5*0.2</f>
        <v>132800</v>
      </c>
      <c r="I15" s="161">
        <f>1000000/H15</f>
        <v>7.5301204819277112</v>
      </c>
      <c r="J15" s="162" t="s">
        <v>180</v>
      </c>
      <c r="K15" s="162"/>
      <c r="L15" s="176"/>
    </row>
    <row r="16" spans="1:13" ht="54" customHeight="1" x14ac:dyDescent="0.35">
      <c r="A16" s="170" t="s">
        <v>168</v>
      </c>
      <c r="B16" s="161">
        <f>B15*(1+0.08)</f>
        <v>717120</v>
      </c>
      <c r="C16" s="161">
        <f>C15*(1+0.08)</f>
        <v>145152</v>
      </c>
      <c r="D16" s="181">
        <f>D15+C16</f>
        <v>279552</v>
      </c>
      <c r="F16" s="170" t="s">
        <v>178</v>
      </c>
      <c r="G16" s="160">
        <v>0.3</v>
      </c>
      <c r="H16" s="161">
        <f>Analysis!J5*0.3</f>
        <v>199200</v>
      </c>
      <c r="I16" s="161">
        <f>1000000/H16</f>
        <v>5.0200803212851408</v>
      </c>
      <c r="J16" s="162" t="s">
        <v>181</v>
      </c>
      <c r="K16" s="162"/>
      <c r="L16" s="176"/>
    </row>
    <row r="17" spans="1:12" ht="54" customHeight="1" thickBot="1" x14ac:dyDescent="0.4">
      <c r="A17" s="170" t="s">
        <v>169</v>
      </c>
      <c r="B17" s="161">
        <f>B16*(1+0.08)</f>
        <v>774489.60000000009</v>
      </c>
      <c r="C17" s="161">
        <f>C16*(1+0.08)</f>
        <v>156764.16</v>
      </c>
      <c r="D17" s="181">
        <f t="shared" ref="D17:D19" si="3">D16+C17</f>
        <v>436316.16000000003</v>
      </c>
      <c r="F17" s="174" t="s">
        <v>179</v>
      </c>
      <c r="G17" s="177">
        <v>0.4</v>
      </c>
      <c r="H17" s="178">
        <f>Analysis!J5*0.4</f>
        <v>265600</v>
      </c>
      <c r="I17" s="178">
        <f>1000000/H17</f>
        <v>3.7650602409638556</v>
      </c>
      <c r="J17" s="179" t="s">
        <v>182</v>
      </c>
      <c r="K17" s="179"/>
      <c r="L17" s="180"/>
    </row>
    <row r="18" spans="1:12" ht="54" customHeight="1" x14ac:dyDescent="0.35">
      <c r="A18" s="170" t="s">
        <v>170</v>
      </c>
      <c r="B18" s="161">
        <f>B17*(1+0.08)</f>
        <v>836448.76800000016</v>
      </c>
      <c r="C18" s="161">
        <f>C17*(1+0.08)</f>
        <v>169305.29280000002</v>
      </c>
      <c r="D18" s="181">
        <f t="shared" si="3"/>
        <v>605621.45280000009</v>
      </c>
    </row>
    <row r="19" spans="1:12" ht="54" customHeight="1" thickBot="1" x14ac:dyDescent="0.4">
      <c r="A19" s="174" t="s">
        <v>171</v>
      </c>
      <c r="B19" s="178">
        <f>B18*(1+0.08)</f>
        <v>903364.6694400002</v>
      </c>
      <c r="C19" s="178">
        <f>C18*(1+0.08)</f>
        <v>182849.71622400003</v>
      </c>
      <c r="D19" s="182">
        <f t="shared" si="3"/>
        <v>788471.16902400018</v>
      </c>
    </row>
    <row r="20" spans="1:12" ht="54" customHeight="1" x14ac:dyDescent="0.35"/>
    <row r="21" spans="1:12" ht="54" customHeight="1" x14ac:dyDescent="0.35"/>
  </sheetData>
  <mergeCells count="9">
    <mergeCell ref="A1:L1"/>
    <mergeCell ref="F13:L13"/>
    <mergeCell ref="J14:L14"/>
    <mergeCell ref="J15:L15"/>
    <mergeCell ref="J16:L16"/>
    <mergeCell ref="J17:L17"/>
    <mergeCell ref="A3:H3"/>
    <mergeCell ref="A13:D13"/>
    <mergeCell ref="J3:K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DC24B-3AA9-459C-BB33-F67DFDB9E766}">
  <dimension ref="A1:P31"/>
  <sheetViews>
    <sheetView zoomScale="69" zoomScaleNormal="69" workbookViewId="0">
      <selection sqref="A1:P1"/>
    </sheetView>
  </sheetViews>
  <sheetFormatPr defaultRowHeight="18" x14ac:dyDescent="0.35"/>
  <cols>
    <col min="1" max="1" width="5.9140625" style="187" customWidth="1"/>
    <col min="2" max="2" width="15.33203125" style="187" bestFit="1" customWidth="1"/>
    <col min="3" max="3" width="1.58203125" style="187" customWidth="1"/>
    <col min="4" max="4" width="15.9140625" style="187" bestFit="1" customWidth="1"/>
    <col min="5" max="5" width="1.58203125" style="187" customWidth="1"/>
    <col min="6" max="6" width="15.75" style="187" bestFit="1" customWidth="1"/>
    <col min="7" max="7" width="1.58203125" style="187" customWidth="1"/>
    <col min="8" max="8" width="12.9140625" style="187" bestFit="1" customWidth="1"/>
    <col min="9" max="9" width="1.58203125" style="187" customWidth="1"/>
    <col min="10" max="10" width="8.58203125" style="187" customWidth="1"/>
    <col min="11" max="13" width="8.6640625" style="187"/>
    <col min="14" max="14" width="1.5" style="187" customWidth="1"/>
    <col min="15" max="15" width="32.33203125" style="187" customWidth="1"/>
    <col min="16" max="16" width="1.1640625" style="187" customWidth="1"/>
    <col min="17" max="16384" width="8.6640625" style="187"/>
  </cols>
  <sheetData>
    <row r="1" spans="1:16" ht="33" customHeight="1" x14ac:dyDescent="0.35">
      <c r="A1" s="202" t="s">
        <v>189</v>
      </c>
      <c r="B1" s="202"/>
      <c r="C1" s="202"/>
      <c r="D1" s="202"/>
      <c r="E1" s="202"/>
      <c r="F1" s="202"/>
      <c r="G1" s="202"/>
      <c r="H1" s="202"/>
      <c r="I1" s="202"/>
      <c r="J1" s="202"/>
      <c r="K1" s="202"/>
      <c r="L1" s="202"/>
      <c r="M1" s="202"/>
      <c r="N1" s="202"/>
      <c r="O1" s="202"/>
      <c r="P1" s="202"/>
    </row>
    <row r="2" spans="1:16" ht="18.600000000000001" thickBot="1" x14ac:dyDescent="0.4"/>
    <row r="3" spans="1:16" ht="36.6" customHeight="1" x14ac:dyDescent="0.35">
      <c r="B3" s="189" t="s">
        <v>187</v>
      </c>
      <c r="D3" s="189" t="s">
        <v>184</v>
      </c>
      <c r="F3" s="189" t="s">
        <v>185</v>
      </c>
      <c r="H3" s="189" t="s">
        <v>186</v>
      </c>
    </row>
    <row r="4" spans="1:16" ht="24" thickBot="1" x14ac:dyDescent="0.5">
      <c r="B4" s="199">
        <f>Analysis!J5</f>
        <v>664000</v>
      </c>
      <c r="D4" s="200">
        <f>Analysis!J6</f>
        <v>529600</v>
      </c>
      <c r="F4" s="200">
        <f>Analysis!J7</f>
        <v>134400</v>
      </c>
      <c r="H4" s="201">
        <f>Analysis!J8</f>
        <v>0.20240963855421687</v>
      </c>
      <c r="O4" s="205" t="s">
        <v>190</v>
      </c>
      <c r="P4" s="203"/>
    </row>
    <row r="5" spans="1:16" ht="18" customHeight="1" x14ac:dyDescent="0.35">
      <c r="O5" s="206" t="s">
        <v>191</v>
      </c>
    </row>
    <row r="6" spans="1:16" ht="7.95" customHeight="1" x14ac:dyDescent="0.35">
      <c r="O6" s="207"/>
    </row>
    <row r="7" spans="1:16" x14ac:dyDescent="0.35">
      <c r="O7" s="207"/>
    </row>
    <row r="8" spans="1:16" x14ac:dyDescent="0.35">
      <c r="O8" s="207"/>
    </row>
    <row r="9" spans="1:16" ht="7.95" customHeight="1" x14ac:dyDescent="0.35">
      <c r="O9" s="207"/>
    </row>
    <row r="10" spans="1:16" x14ac:dyDescent="0.35">
      <c r="O10" s="207"/>
    </row>
    <row r="11" spans="1:16" x14ac:dyDescent="0.35">
      <c r="O11" s="207"/>
    </row>
    <row r="12" spans="1:16" ht="7.95" customHeight="1" x14ac:dyDescent="0.35">
      <c r="O12" s="207"/>
    </row>
    <row r="13" spans="1:16" x14ac:dyDescent="0.35">
      <c r="O13" s="207"/>
    </row>
    <row r="14" spans="1:16" x14ac:dyDescent="0.35">
      <c r="O14" s="207"/>
    </row>
    <row r="15" spans="1:16" x14ac:dyDescent="0.35">
      <c r="O15" s="207"/>
    </row>
    <row r="16" spans="1:16" x14ac:dyDescent="0.35">
      <c r="O16" s="207"/>
    </row>
    <row r="17" spans="1:15" x14ac:dyDescent="0.35">
      <c r="O17" s="208"/>
    </row>
    <row r="18" spans="1:15" x14ac:dyDescent="0.35">
      <c r="O18" s="204"/>
    </row>
    <row r="19" spans="1:15" s="188" customFormat="1" ht="2.4" customHeight="1" x14ac:dyDescent="0.35">
      <c r="A19" s="190"/>
      <c r="B19" s="190"/>
      <c r="C19" s="190"/>
      <c r="D19" s="190"/>
      <c r="E19" s="190"/>
      <c r="F19" s="190"/>
      <c r="G19" s="190"/>
      <c r="H19" s="190"/>
      <c r="I19" s="190"/>
      <c r="J19" s="190"/>
      <c r="K19" s="190"/>
      <c r="L19" s="190"/>
      <c r="M19" s="190"/>
    </row>
    <row r="20" spans="1:15" x14ac:dyDescent="0.35">
      <c r="O20" s="205" t="s">
        <v>192</v>
      </c>
    </row>
    <row r="21" spans="1:15" ht="18" customHeight="1" x14ac:dyDescent="0.35">
      <c r="O21" s="206" t="s">
        <v>193</v>
      </c>
    </row>
    <row r="22" spans="1:15" x14ac:dyDescent="0.35">
      <c r="O22" s="207"/>
    </row>
    <row r="23" spans="1:15" x14ac:dyDescent="0.35">
      <c r="O23" s="207"/>
    </row>
    <row r="24" spans="1:15" x14ac:dyDescent="0.35">
      <c r="O24" s="207"/>
    </row>
    <row r="25" spans="1:15" x14ac:dyDescent="0.35">
      <c r="O25" s="207"/>
    </row>
    <row r="26" spans="1:15" x14ac:dyDescent="0.35">
      <c r="O26" s="207"/>
    </row>
    <row r="27" spans="1:15" x14ac:dyDescent="0.35">
      <c r="O27" s="207"/>
    </row>
    <row r="28" spans="1:15" x14ac:dyDescent="0.35">
      <c r="O28" s="207"/>
    </row>
    <row r="29" spans="1:15" x14ac:dyDescent="0.35">
      <c r="O29" s="207"/>
    </row>
    <row r="30" spans="1:15" x14ac:dyDescent="0.35">
      <c r="O30" s="207"/>
    </row>
    <row r="31" spans="1:15" x14ac:dyDescent="0.35">
      <c r="O31" s="208"/>
    </row>
  </sheetData>
  <mergeCells count="3">
    <mergeCell ref="O5:O17"/>
    <mergeCell ref="O21:O31"/>
    <mergeCell ref="A1:P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case study overview</vt:lpstr>
      <vt:lpstr>Data</vt:lpstr>
      <vt:lpstr>Analysis</vt:lpstr>
      <vt:lpstr>Planning &amp; Forecasting</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Apurvi Bajpai</dc:creator>
  <cp:lastModifiedBy>Apurvi Bajpai</cp:lastModifiedBy>
  <dcterms:created xsi:type="dcterms:W3CDTF">2026-06-30T07:36:10Z</dcterms:created>
  <dcterms:modified xsi:type="dcterms:W3CDTF">2026-06-30T16:25:37Z</dcterms:modified>
</cp:coreProperties>
</file>